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ocuments\Proyecto Infotrack\"/>
    </mc:Choice>
  </mc:AlternateContent>
  <xr:revisionPtr revIDLastSave="0" documentId="13_ncr:1_{441E9356-B11E-4F69-95AD-EB58262EE7AA}" xr6:coauthVersionLast="47" xr6:coauthVersionMax="47" xr10:uidLastSave="{00000000-0000-0000-0000-000000000000}"/>
  <bookViews>
    <workbookView xWindow="-108" yWindow="8532" windowWidth="23256" windowHeight="13896" xr2:uid="{00000000-000D-0000-FFFF-FFFF00000000}"/>
  </bookViews>
  <sheets>
    <sheet name="Hoja1" sheetId="1" r:id="rId1"/>
  </sheets>
  <definedNames>
    <definedName name="_xlnm.Print_Area" localSheetId="0">Hoja1!$A$1:$AB$42</definedName>
    <definedName name="Excel_BuiltIn_Print_Area" localSheetId="0">Hoja1!$A$1:$AB$42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8" i="1" l="1"/>
  <c r="T9" i="1"/>
  <c r="T10" i="1"/>
  <c r="T11" i="1"/>
  <c r="T12" i="1"/>
  <c r="T13" i="1"/>
  <c r="T14" i="1"/>
  <c r="T15" i="1"/>
  <c r="T16" i="1"/>
  <c r="T17" i="1"/>
  <c r="T18" i="1"/>
  <c r="T19" i="1"/>
  <c r="T20" i="1"/>
  <c r="T21" i="1"/>
  <c r="T22" i="1"/>
  <c r="T23" i="1"/>
  <c r="T24" i="1"/>
  <c r="T25" i="1"/>
  <c r="T26" i="1"/>
  <c r="T7" i="1"/>
  <c r="S8" i="1"/>
  <c r="S9" i="1"/>
  <c r="S10" i="1"/>
  <c r="S11" i="1"/>
  <c r="S12" i="1"/>
  <c r="S13" i="1"/>
  <c r="S14" i="1"/>
  <c r="S15" i="1"/>
  <c r="S16" i="1"/>
  <c r="S17" i="1"/>
  <c r="S18" i="1"/>
  <c r="S19" i="1"/>
  <c r="S20" i="1"/>
  <c r="S21" i="1"/>
  <c r="S22" i="1"/>
  <c r="S23" i="1"/>
  <c r="S24" i="1"/>
  <c r="S25" i="1"/>
  <c r="S26" i="1"/>
  <c r="S7" i="1"/>
  <c r="R8" i="1"/>
  <c r="R9" i="1"/>
  <c r="R10" i="1"/>
  <c r="R11" i="1"/>
  <c r="R12" i="1"/>
  <c r="R13" i="1"/>
  <c r="R14" i="1"/>
  <c r="R15" i="1"/>
  <c r="R16" i="1"/>
  <c r="R17" i="1"/>
  <c r="R18" i="1"/>
  <c r="R19" i="1"/>
  <c r="R20" i="1"/>
  <c r="R21" i="1"/>
  <c r="R22" i="1"/>
  <c r="R23" i="1"/>
  <c r="R24" i="1"/>
  <c r="R25" i="1"/>
  <c r="R26" i="1"/>
  <c r="R7" i="1"/>
  <c r="Q8" i="1"/>
  <c r="Q9" i="1"/>
  <c r="Q10" i="1"/>
  <c r="Q11" i="1"/>
  <c r="Q12" i="1"/>
  <c r="Q13" i="1"/>
  <c r="Q14" i="1"/>
  <c r="Q15" i="1"/>
  <c r="Q16" i="1"/>
  <c r="Q17" i="1"/>
  <c r="Q18" i="1"/>
  <c r="Q19" i="1"/>
  <c r="Q20" i="1"/>
  <c r="Q21" i="1"/>
  <c r="Q22" i="1"/>
  <c r="Q23" i="1"/>
  <c r="Q24" i="1"/>
  <c r="Q25" i="1"/>
  <c r="Q26" i="1"/>
  <c r="Q7" i="1"/>
  <c r="P8" i="1"/>
  <c r="P9" i="1"/>
  <c r="P10" i="1"/>
  <c r="P11" i="1"/>
  <c r="P12" i="1"/>
  <c r="P13" i="1"/>
  <c r="P14" i="1"/>
  <c r="P15" i="1"/>
  <c r="P16" i="1"/>
  <c r="P17" i="1"/>
  <c r="P18" i="1"/>
  <c r="P19" i="1"/>
  <c r="P20" i="1"/>
  <c r="P21" i="1"/>
  <c r="P22" i="1"/>
  <c r="P23" i="1"/>
  <c r="P24" i="1"/>
  <c r="P25" i="1"/>
  <c r="P26" i="1"/>
  <c r="P7" i="1"/>
  <c r="O8" i="1"/>
  <c r="O9" i="1"/>
  <c r="O10" i="1"/>
  <c r="O11" i="1"/>
  <c r="O12" i="1"/>
  <c r="O13" i="1"/>
  <c r="O14" i="1"/>
  <c r="O15" i="1"/>
  <c r="O16" i="1"/>
  <c r="O17" i="1"/>
  <c r="O18" i="1"/>
  <c r="O19" i="1"/>
  <c r="O20" i="1"/>
  <c r="O21" i="1"/>
  <c r="O22" i="1"/>
  <c r="O23" i="1"/>
  <c r="O24" i="1"/>
  <c r="O25" i="1"/>
  <c r="O26" i="1"/>
  <c r="O7" i="1"/>
  <c r="N8" i="1"/>
  <c r="N9" i="1"/>
  <c r="N10" i="1"/>
  <c r="N11" i="1"/>
  <c r="N12" i="1"/>
  <c r="N13" i="1"/>
  <c r="N14" i="1"/>
  <c r="N15" i="1"/>
  <c r="N16" i="1"/>
  <c r="N17" i="1"/>
  <c r="N18" i="1"/>
  <c r="N19" i="1"/>
  <c r="N20" i="1"/>
  <c r="N21" i="1"/>
  <c r="N22" i="1"/>
  <c r="N23" i="1"/>
  <c r="N24" i="1"/>
  <c r="N25" i="1"/>
  <c r="N26" i="1"/>
  <c r="N7" i="1"/>
  <c r="M8" i="1"/>
  <c r="M9" i="1"/>
  <c r="M10" i="1"/>
  <c r="M11" i="1"/>
  <c r="M12" i="1"/>
  <c r="M13" i="1"/>
  <c r="M14" i="1"/>
  <c r="M15" i="1"/>
  <c r="M16" i="1"/>
  <c r="M17" i="1"/>
  <c r="M18" i="1"/>
  <c r="M19" i="1"/>
  <c r="M20" i="1"/>
  <c r="M21" i="1"/>
  <c r="M22" i="1"/>
  <c r="M23" i="1"/>
  <c r="M24" i="1"/>
  <c r="M25" i="1"/>
  <c r="M26" i="1"/>
  <c r="M7" i="1"/>
  <c r="L8" i="1"/>
  <c r="L9" i="1"/>
  <c r="L10" i="1"/>
  <c r="L11" i="1"/>
  <c r="L12" i="1"/>
  <c r="L13" i="1"/>
  <c r="L14" i="1"/>
  <c r="L15" i="1"/>
  <c r="L16" i="1"/>
  <c r="L17" i="1"/>
  <c r="L18" i="1"/>
  <c r="L19" i="1"/>
  <c r="L20" i="1"/>
  <c r="L21" i="1"/>
  <c r="L22" i="1"/>
  <c r="L23" i="1"/>
  <c r="L24" i="1"/>
  <c r="L25" i="1"/>
  <c r="L26" i="1"/>
  <c r="L7" i="1"/>
  <c r="K8" i="1"/>
  <c r="K9" i="1"/>
  <c r="K10" i="1"/>
  <c r="K11" i="1"/>
  <c r="K12" i="1"/>
  <c r="K13" i="1"/>
  <c r="K14" i="1"/>
  <c r="K15" i="1"/>
  <c r="K16" i="1"/>
  <c r="K17" i="1"/>
  <c r="K18" i="1"/>
  <c r="K19" i="1"/>
  <c r="K20" i="1"/>
  <c r="K21" i="1"/>
  <c r="K22" i="1"/>
  <c r="K23" i="1"/>
  <c r="K24" i="1"/>
  <c r="K25" i="1"/>
  <c r="K26" i="1"/>
  <c r="K7" i="1"/>
  <c r="J8" i="1"/>
  <c r="J9" i="1"/>
  <c r="J10" i="1"/>
  <c r="J11" i="1"/>
  <c r="J12" i="1"/>
  <c r="J13" i="1"/>
  <c r="J14" i="1"/>
  <c r="J15" i="1"/>
  <c r="J16" i="1"/>
  <c r="J17" i="1"/>
  <c r="J18" i="1"/>
  <c r="J19" i="1"/>
  <c r="J20" i="1"/>
  <c r="J21" i="1"/>
  <c r="J22" i="1"/>
  <c r="J23" i="1"/>
  <c r="J24" i="1"/>
  <c r="J25" i="1"/>
  <c r="J26" i="1"/>
  <c r="J7" i="1"/>
  <c r="I8" i="1"/>
  <c r="I9" i="1"/>
  <c r="I10" i="1"/>
  <c r="I11" i="1"/>
  <c r="I12" i="1"/>
  <c r="I13" i="1"/>
  <c r="I14" i="1"/>
  <c r="I15" i="1"/>
  <c r="I16" i="1"/>
  <c r="I17" i="1"/>
  <c r="I18" i="1"/>
  <c r="I19" i="1"/>
  <c r="I20" i="1"/>
  <c r="I21" i="1"/>
  <c r="I22" i="1"/>
  <c r="I23" i="1"/>
  <c r="I24" i="1"/>
  <c r="I25" i="1"/>
  <c r="I26" i="1"/>
  <c r="I7" i="1"/>
  <c r="H8" i="1"/>
  <c r="H9" i="1"/>
  <c r="H10" i="1"/>
  <c r="H11" i="1"/>
  <c r="H12" i="1"/>
  <c r="H13" i="1"/>
  <c r="H14" i="1"/>
  <c r="H15" i="1"/>
  <c r="H16" i="1"/>
  <c r="H17" i="1"/>
  <c r="H18" i="1"/>
  <c r="H19" i="1"/>
  <c r="H20" i="1"/>
  <c r="H21" i="1"/>
  <c r="H22" i="1"/>
  <c r="H23" i="1"/>
  <c r="H24" i="1"/>
  <c r="H25" i="1"/>
  <c r="H26" i="1"/>
  <c r="H7" i="1"/>
  <c r="G8" i="1"/>
  <c r="G9" i="1"/>
  <c r="G10" i="1"/>
  <c r="G11" i="1"/>
  <c r="G12" i="1"/>
  <c r="G13" i="1"/>
  <c r="G14" i="1"/>
  <c r="G15" i="1"/>
  <c r="G16" i="1"/>
  <c r="G17" i="1"/>
  <c r="G18" i="1"/>
  <c r="G19" i="1"/>
  <c r="G20" i="1"/>
  <c r="G21" i="1"/>
  <c r="G22" i="1"/>
  <c r="G23" i="1"/>
  <c r="G24" i="1"/>
  <c r="G25" i="1"/>
  <c r="G26" i="1"/>
  <c r="G7" i="1"/>
  <c r="F8" i="1"/>
  <c r="F9" i="1"/>
  <c r="F10" i="1"/>
  <c r="F11" i="1"/>
  <c r="F12" i="1"/>
  <c r="F13" i="1"/>
  <c r="F14" i="1"/>
  <c r="F15" i="1"/>
  <c r="F16" i="1"/>
  <c r="F17" i="1"/>
  <c r="F18" i="1"/>
  <c r="F19" i="1"/>
  <c r="F20" i="1"/>
  <c r="F21" i="1"/>
  <c r="F22" i="1"/>
  <c r="F23" i="1"/>
  <c r="F24" i="1"/>
  <c r="F25" i="1"/>
  <c r="F26" i="1"/>
  <c r="F7" i="1"/>
  <c r="E8" i="1"/>
  <c r="E9" i="1"/>
  <c r="E10" i="1"/>
  <c r="E11" i="1"/>
  <c r="E12" i="1"/>
  <c r="E13" i="1"/>
  <c r="E14" i="1"/>
  <c r="E15" i="1"/>
  <c r="E16" i="1"/>
  <c r="E17" i="1"/>
  <c r="E18" i="1"/>
  <c r="E19" i="1"/>
  <c r="E20" i="1"/>
  <c r="E21" i="1"/>
  <c r="E22" i="1"/>
  <c r="E23" i="1"/>
  <c r="E24" i="1"/>
  <c r="E25" i="1"/>
  <c r="E26" i="1"/>
  <c r="E7" i="1"/>
  <c r="D8" i="1"/>
  <c r="D9" i="1"/>
  <c r="D10" i="1"/>
  <c r="D11" i="1"/>
  <c r="D12" i="1"/>
  <c r="D13" i="1"/>
  <c r="D14" i="1"/>
  <c r="D15" i="1"/>
  <c r="D16" i="1"/>
  <c r="D17" i="1"/>
  <c r="D18" i="1"/>
  <c r="D19" i="1"/>
  <c r="D20" i="1"/>
  <c r="D21" i="1"/>
  <c r="D22" i="1"/>
  <c r="D23" i="1"/>
  <c r="D24" i="1"/>
  <c r="D25" i="1"/>
  <c r="D26" i="1"/>
  <c r="D7" i="1"/>
  <c r="C7" i="1"/>
  <c r="C8" i="1"/>
  <c r="C9" i="1"/>
  <c r="C10" i="1"/>
  <c r="C11" i="1"/>
  <c r="C12" i="1"/>
  <c r="C13" i="1"/>
  <c r="C14" i="1"/>
  <c r="C15" i="1"/>
  <c r="C16" i="1"/>
  <c r="C17" i="1"/>
  <c r="C18" i="1"/>
  <c r="C19" i="1"/>
  <c r="C20" i="1"/>
  <c r="C21" i="1"/>
  <c r="C22" i="1"/>
  <c r="C23" i="1"/>
  <c r="C24" i="1"/>
  <c r="C25" i="1"/>
  <c r="C26" i="1"/>
</calcChain>
</file>

<file path=xl/sharedStrings.xml><?xml version="1.0" encoding="utf-8"?>
<sst xmlns="http://schemas.openxmlformats.org/spreadsheetml/2006/main" count="70" uniqueCount="48">
  <si>
    <t>LISTA DE CHEQUEO - HAND HELD. (Recepción)</t>
  </si>
  <si>
    <t>FSI-002 V02</t>
  </si>
  <si>
    <t>.</t>
  </si>
  <si>
    <t>Cliente</t>
  </si>
  <si>
    <t>Fecha</t>
  </si>
  <si>
    <t>Ubicación:</t>
  </si>
  <si>
    <t>#</t>
  </si>
  <si>
    <t>ID Cliente</t>
  </si>
  <si>
    <t>Serial</t>
  </si>
  <si>
    <t>Modelo</t>
  </si>
  <si>
    <t>Diligencie, B (cuando este en buena estado). R (cuando este en regular estado) M. (Cuando esta totalmente dañado) o N/A (Si no aplica para el equipo inspeccionado o no tiene la pieza).</t>
  </si>
  <si>
    <t>Descripción del Problema o causa del mantenimiento</t>
  </si>
  <si>
    <t>Lápiz</t>
  </si>
  <si>
    <t>Cuerda lápiz</t>
  </si>
  <si>
    <t>Correa mano</t>
  </si>
  <si>
    <t>Teclado principal</t>
  </si>
  <si>
    <t>Teclas laterales</t>
  </si>
  <si>
    <t>Pantalla</t>
  </si>
  <si>
    <t>Protector de pantalla</t>
  </si>
  <si>
    <t>Batería</t>
  </si>
  <si>
    <t>Tapa batería</t>
  </si>
  <si>
    <t>Tarjeta almacenamiento</t>
  </si>
  <si>
    <t>Cubierta de tarjeta</t>
  </si>
  <si>
    <t>Cristal Del Lector</t>
  </si>
  <si>
    <t>Carcaza superior</t>
  </si>
  <si>
    <t>Carcaza inferior</t>
  </si>
  <si>
    <t>SIM Card</t>
  </si>
  <si>
    <t>¿Los equipos enviados para mantenimiento, han sido registrados en las bases de datos positivas de equipos móviles?; En el caso que no sea confirmada dicha información, Infotrack omitirá las pruebas de GPRS con el fin de evitar el posterior bloqueo de equipos por parte de los diferentes operadores.</t>
  </si>
  <si>
    <t>SI</t>
  </si>
  <si>
    <t>NO</t>
  </si>
  <si>
    <t>*Si los equipos son propiedad de Infotrack, el coordinador de convenio debe dar respuesta sobre el registro de los equipos en la base de datos positivas. Si el propietario del equipo es el cliente, el cliente es quien debe confirmar el registro.</t>
  </si>
  <si>
    <t>RECIBE HAND HELD</t>
  </si>
  <si>
    <t>ENTREGA HAND HELD</t>
  </si>
  <si>
    <t>Observaciones Generales</t>
  </si>
  <si>
    <t>Firma</t>
  </si>
  <si>
    <t>NOMBRE</t>
  </si>
  <si>
    <t>CEDULA</t>
  </si>
  <si>
    <t xml:space="preserve">Debido a que existen actividades de mantenimiento que requieren dar "Reset"  a los equipos, Infotrack NO se hace responsable por aplicativos/programas diferentes al sistema operativo instalado, ni la información guardada en los equipos.                                                                                                                                   </t>
  </si>
  <si>
    <r>
      <t>En el caso de no recibir aprobación del cliente para diagnostico y/o reparación del equipo en un periodo de 60 días calendario,</t>
    </r>
    <r>
      <rPr>
        <i/>
        <sz val="18"/>
        <color rgb="FF000000"/>
        <rFont val="Arial"/>
        <family val="2"/>
      </rPr>
      <t xml:space="preserve"> Infotrack no asume responsabilidad alguna por el equipo ingresado y podrá disponer del mismo para su destrucción. Esta política debe darse a conocer al cliente a través del documento de condiciones del servicio por demanda.</t>
    </r>
  </si>
  <si>
    <t>{{CLIENTE}}</t>
  </si>
  <si>
    <t>{{FECHA}}</t>
  </si>
  <si>
    <t>{{UBICACION}}</t>
  </si>
  <si>
    <t>{{OBSERVACIONES}}</t>
  </si>
  <si>
    <t>{{NOMBRE_RECIBE}}</t>
  </si>
  <si>
    <t>{{CEDULA_RECIBE}}</t>
  </si>
  <si>
    <t>{{ID_CLIENTE}}</t>
  </si>
  <si>
    <t>{{NOMBRE_ENTREGA}}</t>
  </si>
  <si>
    <t>{{CEDULA_ENTREGA}}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</si>
</sst>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 de &quot;mmm&quot; de &quot;yy"/>
  </numFmts>
  <fonts count="34">
    <font>
      <sz val="11"/>
      <color rgb="FF000000"/>
      <name val="Calibri"/>
      <family val="2"/>
    </font>
    <font>
      <sz val="11"/>
      <color rgb="FF000000"/>
      <name val="Calibri"/>
      <family val="2"/>
    </font>
    <font>
      <b/>
      <sz val="11"/>
      <color rgb="FF000000"/>
      <name val="Calibri"/>
      <family val="2"/>
    </font>
    <font>
      <b/>
      <sz val="11"/>
      <color rgb="FFFFFFFF"/>
      <name val="Calibri"/>
      <family val="2"/>
    </font>
    <font>
      <sz val="11"/>
      <color rgb="FFCC0000"/>
      <name val="Calibri"/>
      <family val="2"/>
    </font>
    <font>
      <i/>
      <sz val="11"/>
      <color rgb="FF808080"/>
      <name val="Calibri"/>
      <family val="2"/>
    </font>
    <font>
      <sz val="11"/>
      <color rgb="FF006600"/>
      <name val="Calibri"/>
      <family val="2"/>
    </font>
    <font>
      <b/>
      <sz val="24"/>
      <color rgb="FF000000"/>
      <name val="Calibri"/>
      <family val="2"/>
    </font>
    <font>
      <b/>
      <sz val="18"/>
      <color rgb="FF000000"/>
      <name val="Calibri"/>
      <family val="2"/>
    </font>
    <font>
      <b/>
      <sz val="12"/>
      <color rgb="FF000000"/>
      <name val="Calibri"/>
      <family val="2"/>
    </font>
    <font>
      <u/>
      <sz val="11"/>
      <color rgb="FF0000EE"/>
      <name val="Calibri"/>
      <family val="2"/>
    </font>
    <font>
      <sz val="11"/>
      <color rgb="FF996600"/>
      <name val="Calibri"/>
      <family val="2"/>
    </font>
    <font>
      <sz val="11"/>
      <color rgb="FF333333"/>
      <name val="Calibri"/>
      <family val="2"/>
    </font>
    <font>
      <b/>
      <i/>
      <u/>
      <sz val="11"/>
      <color rgb="FF000000"/>
      <name val="Calibri"/>
      <family val="2"/>
    </font>
    <font>
      <b/>
      <sz val="24"/>
      <color rgb="FF000000"/>
      <name val="Arial Narrow"/>
      <family val="2"/>
    </font>
    <font>
      <sz val="11"/>
      <color rgb="FF000000"/>
      <name val="Arial Narrow"/>
      <family val="2"/>
    </font>
    <font>
      <b/>
      <sz val="12"/>
      <color rgb="FF000000"/>
      <name val="Arial Narrow"/>
      <family val="2"/>
    </font>
    <font>
      <b/>
      <sz val="22"/>
      <color rgb="FF000000"/>
      <name val="Arial Narrow"/>
      <family val="2"/>
    </font>
    <font>
      <sz val="25"/>
      <color rgb="FF000000"/>
      <name val="Arial Narrow"/>
      <family val="2"/>
    </font>
    <font>
      <b/>
      <sz val="20"/>
      <color rgb="FF000000"/>
      <name val="Arial Narrow"/>
      <family val="2"/>
    </font>
    <font>
      <b/>
      <sz val="17"/>
      <color rgb="FF000000"/>
      <name val="Arial Narrow"/>
      <family val="2"/>
    </font>
    <font>
      <b/>
      <sz val="18"/>
      <color rgb="FF000000"/>
      <name val="Arial Narrow"/>
      <family val="2"/>
    </font>
    <font>
      <b/>
      <sz val="8"/>
      <color rgb="FFFF0000"/>
      <name val="Arial Narrow"/>
      <family val="2"/>
    </font>
    <font>
      <b/>
      <sz val="14"/>
      <color rgb="FF000000"/>
      <name val="Arial Narrow"/>
      <family val="2"/>
    </font>
    <font>
      <sz val="20"/>
      <color rgb="FF000000"/>
      <name val="Arial Narrow"/>
      <family val="2"/>
    </font>
    <font>
      <sz val="18"/>
      <color rgb="FF000000"/>
      <name val="Arial Narrow"/>
      <family val="2"/>
    </font>
    <font>
      <i/>
      <sz val="25"/>
      <color rgb="FF000000"/>
      <name val="Arial Narrow"/>
      <family val="2"/>
    </font>
    <font>
      <i/>
      <sz val="18"/>
      <color rgb="FF000000"/>
      <name val="Arial Narrow"/>
      <family val="2"/>
    </font>
    <font>
      <sz val="14"/>
      <color rgb="FF000000"/>
      <name val="Arial Narrow"/>
      <family val="2"/>
    </font>
    <font>
      <i/>
      <sz val="18"/>
      <color rgb="FF000000"/>
      <name val="Arial"/>
      <family val="2"/>
    </font>
    <font>
      <b/>
      <i/>
      <sz val="18"/>
      <color rgb="FF000000"/>
      <name val="Arial"/>
      <family val="2"/>
    </font>
    <font>
      <sz val="22"/>
      <color rgb="FF000000"/>
      <name val="Calibri"/>
      <family val="2"/>
    </font>
    <font>
      <b/>
      <sz val="20"/>
      <color rgb="FF000000"/>
      <name val="Calibri"/>
      <family val="2"/>
    </font>
    <font>
      <i/>
      <sz val="20"/>
      <color rgb="FF000000"/>
      <name val="Arial Narrow"/>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s>
  <borders count="11">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9">
    <xf numFmtId="0" fontId="0" fillId="0" borderId="0"/>
    <xf numFmtId="0" fontId="11" fillId="8" borderId="0" applyNumberFormat="0" applyBorder="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3" fillId="6" borderId="0" applyNumberFormat="0" applyBorder="0" applyProtection="0"/>
    <xf numFmtId="0" fontId="5" fillId="0" borderId="0" applyNumberFormat="0" applyBorder="0" applyProtection="0"/>
    <xf numFmtId="0" fontId="6" fillId="7" borderId="0" applyNumberFormat="0" applyBorder="0" applyProtection="0"/>
    <xf numFmtId="0" fontId="7" fillId="0" borderId="0" applyNumberFormat="0" applyBorder="0" applyProtection="0"/>
    <xf numFmtId="0" fontId="8" fillId="0" borderId="0" applyNumberFormat="0" applyBorder="0" applyProtection="0"/>
    <xf numFmtId="0" fontId="9" fillId="0" borderId="0" applyNumberFormat="0" applyBorder="0" applyProtection="0"/>
    <xf numFmtId="0" fontId="10" fillId="0" borderId="0" applyNumberFormat="0" applyBorder="0" applyProtection="0"/>
    <xf numFmtId="0" fontId="12" fillId="8" borderId="1" applyNumberFormat="0" applyProtection="0"/>
    <xf numFmtId="0" fontId="1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54">
    <xf numFmtId="0" fontId="0" fillId="0" borderId="0" xfId="0"/>
    <xf numFmtId="0" fontId="15" fillId="0" borderId="0" xfId="0" applyFont="1"/>
    <xf numFmtId="0" fontId="16" fillId="0" borderId="0" xfId="0" applyFont="1" applyAlignment="1">
      <alignment horizontal="center" vertical="center" wrapText="1"/>
    </xf>
    <xf numFmtId="0" fontId="17" fillId="0" borderId="0" xfId="0" applyFont="1" applyAlignment="1">
      <alignment horizontal="center" vertical="center" wrapText="1"/>
    </xf>
    <xf numFmtId="0" fontId="17" fillId="0" borderId="0" xfId="0" applyFont="1"/>
    <xf numFmtId="0" fontId="16" fillId="0" borderId="0" xfId="0" applyFont="1" applyAlignment="1">
      <alignment vertical="center" wrapText="1"/>
    </xf>
    <xf numFmtId="0" fontId="16" fillId="0" borderId="0" xfId="0" applyFont="1"/>
    <xf numFmtId="0" fontId="21" fillId="0" borderId="2" xfId="0" applyFont="1" applyBorder="1" applyAlignment="1">
      <alignment horizontal="center" vertical="center" textRotation="90" wrapText="1"/>
    </xf>
    <xf numFmtId="0" fontId="21" fillId="0" borderId="2" xfId="0" applyFont="1" applyBorder="1" applyAlignment="1">
      <alignment horizontal="center" vertical="center" textRotation="90" wrapText="1" readingOrder="1"/>
    </xf>
    <xf numFmtId="0" fontId="22" fillId="9" borderId="0" xfId="0" applyFont="1" applyFill="1" applyAlignment="1">
      <alignment horizontal="right"/>
    </xf>
    <xf numFmtId="0" fontId="24" fillId="0" borderId="4" xfId="0" applyFont="1" applyBorder="1"/>
    <xf numFmtId="0" fontId="24" fillId="0" borderId="0" xfId="0" applyFont="1" applyAlignment="1">
      <alignment horizontal="justify" vertical="center" wrapText="1"/>
    </xf>
    <xf numFmtId="0" fontId="24" fillId="0" borderId="2" xfId="0" applyFont="1" applyBorder="1" applyAlignment="1">
      <alignment horizontal="left" vertical="top"/>
    </xf>
    <xf numFmtId="0" fontId="24" fillId="0" borderId="0" xfId="0" applyFont="1"/>
    <xf numFmtId="0" fontId="24" fillId="0" borderId="0" xfId="0" applyFont="1" applyAlignment="1">
      <alignment horizontal="left" vertical="top"/>
    </xf>
    <xf numFmtId="0" fontId="24" fillId="0" borderId="0" xfId="0" applyFont="1" applyAlignment="1">
      <alignment horizontal="left"/>
    </xf>
    <xf numFmtId="0" fontId="21" fillId="0" borderId="0" xfId="0" applyFont="1"/>
    <xf numFmtId="0" fontId="25" fillId="0" borderId="0" xfId="0" applyFont="1"/>
    <xf numFmtId="0" fontId="25" fillId="0" borderId="3" xfId="0" applyFont="1" applyBorder="1"/>
    <xf numFmtId="0" fontId="27" fillId="0" borderId="3" xfId="0" applyFont="1" applyBorder="1"/>
    <xf numFmtId="0" fontId="27" fillId="0" borderId="0" xfId="0" applyFont="1"/>
    <xf numFmtId="0" fontId="15" fillId="0" borderId="3" xfId="0" applyFont="1" applyBorder="1"/>
    <xf numFmtId="0" fontId="28" fillId="0" borderId="0" xfId="0" applyFont="1"/>
    <xf numFmtId="0" fontId="28" fillId="0" borderId="0" xfId="0" applyFont="1" applyAlignment="1">
      <alignment horizontal="left"/>
    </xf>
    <xf numFmtId="0" fontId="19" fillId="0" borderId="2" xfId="0" applyFont="1" applyBorder="1" applyAlignment="1">
      <alignment horizontal="center" vertical="center" wrapText="1"/>
    </xf>
    <xf numFmtId="0" fontId="19" fillId="0" borderId="2" xfId="0" applyFont="1" applyBorder="1" applyAlignment="1">
      <alignment horizontal="center" vertical="center" textRotation="90" wrapText="1"/>
    </xf>
    <xf numFmtId="0" fontId="19" fillId="0" borderId="2" xfId="0" applyFont="1" applyBorder="1" applyAlignment="1">
      <alignment horizontal="center" vertical="center" textRotation="90" wrapText="1" readingOrder="1"/>
    </xf>
    <xf numFmtId="0" fontId="19" fillId="0" borderId="6" xfId="0" applyNumberFormat="1" applyFont="1" applyBorder="1" applyAlignment="1">
      <alignment horizontal="center" vertical="center"/>
    </xf>
    <xf numFmtId="0" fontId="23" fillId="0" borderId="6" xfId="0" applyNumberFormat="1" applyFont="1" applyBorder="1" applyAlignment="1">
      <alignment horizontal="center" vertical="center"/>
    </xf>
    <xf numFmtId="0" fontId="19" fillId="0" borderId="8" xfId="0" applyFont="1" applyBorder="1" applyAlignment="1">
      <alignment horizontal="center" vertical="center" wrapText="1"/>
    </xf>
    <xf numFmtId="0" fontId="24" fillId="0" borderId="0" xfId="0" applyFont="1" applyBorder="1" applyAlignment="1">
      <alignment wrapText="1"/>
    </xf>
    <xf numFmtId="0" fontId="32" fillId="0" borderId="9" xfId="0" applyFont="1" applyBorder="1" applyAlignment="1">
      <alignment horizontal="center" vertical="center"/>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31" fillId="0" borderId="3" xfId="0" applyFont="1" applyBorder="1" applyAlignment="1">
      <alignment horizontal="left"/>
    </xf>
    <xf numFmtId="0" fontId="25" fillId="0" borderId="3" xfId="0" applyFont="1" applyBorder="1" applyAlignment="1">
      <alignment horizontal="left"/>
    </xf>
    <xf numFmtId="0" fontId="26" fillId="0" borderId="3" xfId="0" applyFont="1" applyBorder="1" applyAlignment="1">
      <alignment horizontal="left"/>
    </xf>
    <xf numFmtId="3" fontId="33" fillId="0" borderId="3" xfId="0" applyNumberFormat="1" applyFont="1" applyBorder="1" applyAlignment="1">
      <alignment horizontal="left"/>
    </xf>
    <xf numFmtId="0" fontId="17" fillId="0" borderId="2" xfId="0" applyFont="1" applyBorder="1" applyAlignment="1">
      <alignment horizontal="center" vertical="center" wrapText="1"/>
    </xf>
    <xf numFmtId="0" fontId="0" fillId="0" borderId="2" xfId="0" applyBorder="1" applyAlignment="1"/>
    <xf numFmtId="0" fontId="14" fillId="0" borderId="2" xfId="0" applyFont="1" applyBorder="1" applyAlignment="1">
      <alignment horizontal="center" vertical="center" wrapText="1"/>
    </xf>
    <xf numFmtId="0" fontId="17" fillId="0" borderId="0" xfId="0" applyFont="1" applyAlignment="1">
      <alignment horizontal="center" vertical="center" wrapText="1"/>
    </xf>
    <xf numFmtId="164" fontId="19" fillId="0" borderId="2" xfId="0" applyNumberFormat="1" applyFont="1" applyBorder="1" applyAlignment="1">
      <alignment horizontal="center" vertical="center"/>
    </xf>
    <xf numFmtId="0" fontId="17" fillId="0" borderId="10" xfId="0" applyFont="1" applyBorder="1" applyAlignment="1">
      <alignment horizontal="center" vertical="center" wrapText="1"/>
    </xf>
    <xf numFmtId="0" fontId="20" fillId="0" borderId="2" xfId="0" applyFont="1" applyBorder="1" applyAlignment="1">
      <alignment horizontal="center" vertical="center" wrapText="1"/>
    </xf>
    <xf numFmtId="0" fontId="18" fillId="0" borderId="3" xfId="0" applyFont="1" applyBorder="1" applyAlignment="1">
      <alignment horizontal="center" vertical="center" wrapText="1"/>
    </xf>
    <xf numFmtId="164" fontId="18" fillId="0" borderId="3" xfId="0" applyNumberFormat="1" applyFont="1" applyBorder="1" applyAlignment="1">
      <alignment horizontal="center" vertical="center"/>
    </xf>
    <xf numFmtId="0" fontId="31" fillId="0" borderId="5" xfId="0" applyFont="1" applyBorder="1" applyAlignment="1">
      <alignment horizontal="center"/>
    </xf>
    <xf numFmtId="0" fontId="29" fillId="0" borderId="2" xfId="0" applyFont="1" applyBorder="1" applyAlignment="1">
      <alignment horizontal="justify" vertical="center" wrapText="1"/>
    </xf>
    <xf numFmtId="0" fontId="30" fillId="0" borderId="2" xfId="0" applyFont="1" applyBorder="1" applyAlignment="1">
      <alignment horizontal="justify" vertical="center" wrapText="1"/>
    </xf>
    <xf numFmtId="0" fontId="24" fillId="0" borderId="0" xfId="0" applyFont="1" applyAlignment="1">
      <alignment horizontal="justify" vertical="center" wrapText="1"/>
    </xf>
    <xf numFmtId="0" fontId="24" fillId="0" borderId="2" xfId="0" applyFont="1" applyBorder="1" applyAlignment="1">
      <alignment horizontal="left" vertical="top"/>
    </xf>
    <xf numFmtId="0" fontId="24" fillId="0" borderId="0" xfId="0" applyFont="1" applyAlignment="1">
      <alignment horizontal="left" vertical="top" wrapText="1"/>
    </xf>
  </cellXfs>
  <cellStyles count="19">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Error" xfId="7" xr:uid="{00000000-0005-0000-0000-000005000000}"/>
    <cellStyle name="Footnote" xfId="8" xr:uid="{00000000-0005-0000-0000-000006000000}"/>
    <cellStyle name="Good" xfId="9" xr:uid="{00000000-0005-0000-0000-000007000000}"/>
    <cellStyle name="Heading" xfId="10" xr:uid="{00000000-0005-0000-0000-000008000000}"/>
    <cellStyle name="Heading 1" xfId="11" xr:uid="{00000000-0005-0000-0000-000009000000}"/>
    <cellStyle name="Heading 2" xfId="12" xr:uid="{00000000-0005-0000-0000-00000A000000}"/>
    <cellStyle name="Hyperlink" xfId="13" xr:uid="{00000000-0005-0000-0000-00000B000000}"/>
    <cellStyle name="Neutral" xfId="1" builtinId="28" customBuiltin="1"/>
    <cellStyle name="Normal" xfId="0" builtinId="0" customBuiltin="1"/>
    <cellStyle name="Note" xfId="14" xr:uid="{00000000-0005-0000-0000-00000E00000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1057320</xdr:colOff>
      <xdr:row>0</xdr:row>
      <xdr:rowOff>0</xdr:rowOff>
    </xdr:from>
    <xdr:ext cx="2473195" cy="954359"/>
    <xdr:pic>
      <xdr:nvPicPr>
        <xdr:cNvPr id="2" name="Imagen 2">
          <a:extLst>
            <a:ext uri="{FF2B5EF4-FFF2-40B4-BE49-F238E27FC236}">
              <a16:creationId xmlns:a16="http://schemas.microsoft.com/office/drawing/2014/main" id="{516BC3A1-723C-DDD5-2C03-6EF5C2E34E7A}"/>
            </a:ext>
          </a:extLst>
        </xdr:cNvPr>
        <xdr:cNvPicPr>
          <a:picLocks noChangeAspect="1"/>
        </xdr:cNvPicPr>
      </xdr:nvPicPr>
      <xdr:blipFill>
        <a:blip xmlns:r="http://schemas.openxmlformats.org/officeDocument/2006/relationships" r:embed="rId1">
          <a:lum/>
          <a:alphaModFix/>
        </a:blip>
        <a:srcRect/>
        <a:stretch>
          <a:fillRect/>
        </a:stretch>
      </xdr:blipFill>
      <xdr:spPr>
        <a:xfrm>
          <a:off x="1400220" y="0"/>
          <a:ext cx="2473195" cy="954359"/>
        </a:xfrm>
        <a:prstGeom prst="rect">
          <a:avLst/>
        </a:prstGeom>
        <a:noFill/>
        <a:ln cap="flat">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41"/>
  <sheetViews>
    <sheetView tabSelected="1" topLeftCell="A24" zoomScale="43" zoomScaleNormal="40" workbookViewId="0">
      <selection activeCell="F37" sqref="F37:O37"/>
    </sheetView>
  </sheetViews>
  <sheetFormatPr baseColWidth="10" defaultColWidth="12" defaultRowHeight="16.5" customHeight="1"/>
  <cols>
    <col min="1" max="1" width="5.140625" style="1" customWidth="1"/>
    <col min="2" max="2" width="32.7109375" style="1" customWidth="1"/>
    <col min="3" max="3" width="56.28515625" style="1" customWidth="1"/>
    <col min="4" max="4" width="29.85546875" style="1" customWidth="1"/>
    <col min="5" max="18" width="8.140625" style="1" customWidth="1"/>
    <col min="19" max="20" width="8.5703125" style="1" customWidth="1"/>
    <col min="21" max="21" width="20.5703125" style="1" customWidth="1"/>
    <col min="22" max="22" width="14.42578125" style="1" customWidth="1"/>
    <col min="23" max="23" width="12.28515625" style="1" customWidth="1"/>
    <col min="24" max="25" width="14.42578125" style="1" customWidth="1"/>
    <col min="26" max="26" width="26.5703125" style="1" customWidth="1"/>
    <col min="27" max="27" width="33.28515625" style="1" customWidth="1"/>
    <col min="28" max="257" width="12" style="1" customWidth="1"/>
    <col min="258" max="258" width="12" customWidth="1"/>
  </cols>
  <sheetData>
    <row r="1" spans="1:29" ht="79.5" customHeight="1">
      <c r="A1" s="40"/>
      <c r="B1" s="40"/>
      <c r="C1" s="40"/>
      <c r="D1" s="41" t="s">
        <v>0</v>
      </c>
      <c r="E1" s="41"/>
      <c r="F1" s="41"/>
      <c r="G1" s="41"/>
      <c r="H1" s="41"/>
      <c r="I1" s="41"/>
      <c r="J1" s="41"/>
      <c r="K1" s="41"/>
      <c r="L1" s="41"/>
      <c r="M1" s="41"/>
      <c r="N1" s="41"/>
      <c r="O1" s="41"/>
      <c r="P1" s="41"/>
      <c r="Q1" s="41"/>
      <c r="R1" s="41"/>
      <c r="S1" s="41"/>
      <c r="T1" s="41"/>
      <c r="U1" s="41"/>
      <c r="V1" s="41"/>
      <c r="W1" s="41"/>
      <c r="X1" s="41"/>
      <c r="Y1" s="41"/>
      <c r="Z1" s="41" t="s">
        <v>1</v>
      </c>
      <c r="AA1" s="41"/>
    </row>
    <row r="2" spans="1:29" ht="16.5" customHeight="1">
      <c r="B2" s="2"/>
      <c r="C2" s="2"/>
      <c r="D2" s="2"/>
      <c r="E2" s="2"/>
      <c r="F2" s="2"/>
      <c r="G2" s="2"/>
      <c r="H2" s="2"/>
      <c r="I2" s="2"/>
      <c r="J2" s="2"/>
      <c r="U2" s="1" t="s">
        <v>2</v>
      </c>
    </row>
    <row r="3" spans="1:29" ht="32.25" customHeight="1">
      <c r="B3" s="3" t="s">
        <v>3</v>
      </c>
      <c r="C3" s="46" t="s">
        <v>39</v>
      </c>
      <c r="D3" s="46"/>
      <c r="E3" s="46"/>
      <c r="F3" s="46"/>
      <c r="G3" s="46"/>
      <c r="H3" s="46"/>
      <c r="I3" s="3"/>
      <c r="J3" s="42" t="s">
        <v>4</v>
      </c>
      <c r="K3" s="42"/>
      <c r="L3" s="47" t="s">
        <v>40</v>
      </c>
      <c r="M3" s="47"/>
      <c r="N3" s="47"/>
      <c r="O3" s="47"/>
      <c r="P3" s="47"/>
      <c r="Q3" s="47"/>
      <c r="U3" s="4" t="s">
        <v>5</v>
      </c>
      <c r="V3" s="48" t="s">
        <v>41</v>
      </c>
      <c r="W3" s="48"/>
      <c r="X3" s="48"/>
      <c r="Y3" s="48"/>
    </row>
    <row r="4" spans="1:29" ht="16.5" customHeight="1">
      <c r="B4" s="2"/>
      <c r="C4" s="2"/>
      <c r="D4" s="2"/>
      <c r="E4" s="2"/>
      <c r="F4" s="2"/>
      <c r="G4" s="2"/>
      <c r="H4" s="2"/>
      <c r="I4" s="2"/>
      <c r="J4" s="2"/>
    </row>
    <row r="5" spans="1:29" ht="104.25" customHeight="1">
      <c r="A5" s="43" t="s">
        <v>6</v>
      </c>
      <c r="B5" s="39" t="s">
        <v>7</v>
      </c>
      <c r="C5" s="39" t="s">
        <v>8</v>
      </c>
      <c r="D5" s="39" t="s">
        <v>9</v>
      </c>
      <c r="E5" s="45" t="s">
        <v>10</v>
      </c>
      <c r="F5" s="45"/>
      <c r="G5" s="45"/>
      <c r="H5" s="45"/>
      <c r="I5" s="45"/>
      <c r="J5" s="45"/>
      <c r="K5" s="45"/>
      <c r="L5" s="45"/>
      <c r="M5" s="45"/>
      <c r="N5" s="45"/>
      <c r="O5" s="45"/>
      <c r="P5" s="45"/>
      <c r="Q5" s="45"/>
      <c r="R5" s="45"/>
      <c r="S5" s="45"/>
      <c r="T5" s="39" t="s">
        <v>11</v>
      </c>
      <c r="U5" s="39"/>
      <c r="V5" s="39"/>
      <c r="W5" s="39"/>
      <c r="X5" s="39"/>
      <c r="Y5" s="39"/>
      <c r="Z5" s="39"/>
      <c r="AA5" s="39"/>
      <c r="AB5" s="5"/>
      <c r="AC5" s="6"/>
    </row>
    <row r="6" spans="1:29" ht="188.25" customHeight="1">
      <c r="A6" s="43"/>
      <c r="B6" s="44"/>
      <c r="C6" s="39"/>
      <c r="D6" s="39"/>
      <c r="E6" s="7" t="s">
        <v>12</v>
      </c>
      <c r="F6" s="7" t="s">
        <v>13</v>
      </c>
      <c r="G6" s="7" t="s">
        <v>14</v>
      </c>
      <c r="H6" s="7" t="s">
        <v>15</v>
      </c>
      <c r="I6" s="7" t="s">
        <v>16</v>
      </c>
      <c r="J6" s="7" t="s">
        <v>17</v>
      </c>
      <c r="K6" s="8" t="s">
        <v>18</v>
      </c>
      <c r="L6" s="7" t="s">
        <v>19</v>
      </c>
      <c r="M6" s="7" t="s">
        <v>20</v>
      </c>
      <c r="N6" s="7" t="s">
        <v>21</v>
      </c>
      <c r="O6" s="7" t="s">
        <v>22</v>
      </c>
      <c r="P6" s="7" t="s">
        <v>23</v>
      </c>
      <c r="Q6" s="7" t="s">
        <v>24</v>
      </c>
      <c r="R6" s="7" t="s">
        <v>25</v>
      </c>
      <c r="S6" s="7" t="s">
        <v>26</v>
      </c>
      <c r="T6" s="39"/>
      <c r="U6" s="39"/>
      <c r="V6" s="39"/>
      <c r="W6" s="39"/>
      <c r="X6" s="39"/>
      <c r="Y6" s="39"/>
      <c r="Z6" s="39"/>
      <c r="AA6" s="39"/>
      <c r="AB6" s="9"/>
      <c r="AC6" s="6"/>
    </row>
    <row r="7" spans="1:29" ht="138" customHeight="1">
      <c r="A7" s="27">
        <v>1</v>
      </c>
      <c r="B7" s="31" t="s">
        <v>45</v>
      </c>
      <c r="C7" s="29" t="str">
        <f>"{{E" &amp; ROW(C7) - 6 &amp; "_SERIAL}}"</f>
        <v>{{E1_SERIAL}}</v>
      </c>
      <c r="D7" s="24" t="str">
        <f>"{{E" &amp; ROW(D7) - 6 &amp; "_MODELO}}"</f>
        <v>{{E1_MODELO}}</v>
      </c>
      <c r="E7" s="25" t="str">
        <f>"{{E" &amp; ROW(E7) - 6 &amp; "_LAPIZ}}"</f>
        <v>{{E1_LAPIZ}}</v>
      </c>
      <c r="F7" s="25" t="str">
        <f>"{{E" &amp; ROW(F7) - 6 &amp; "_CUERDA}}"</f>
        <v>{{E1_CUERDA}}</v>
      </c>
      <c r="G7" s="25" t="str">
        <f>"{{E" &amp; ROW(G7) - 6 &amp; "_CORREA}}"</f>
        <v>{{E1_CORREA}}</v>
      </c>
      <c r="H7" s="25" t="str">
        <f>"{{E" &amp; ROW(C7) - 6 &amp; "_TECLADO_NUM}}"</f>
        <v>{{E1_TECLADO_NUM}}</v>
      </c>
      <c r="I7" s="25" t="str">
        <f>"{{E" &amp; ROW(C7) - 6 &amp; "_TECLADO_COMPL}}"</f>
        <v>{{E1_TECLADO_COMPL}}</v>
      </c>
      <c r="J7" s="25" t="str">
        <f>"{{E" &amp; ROW(C7) - 6 &amp; "_PANTALLA}}"</f>
        <v>{{E1_PANTALLA}}</v>
      </c>
      <c r="K7" s="26" t="str">
        <f>"{{E" &amp; ROW(C7) - 6 &amp; "_PROTECTOR}}"</f>
        <v>{{E1_PROTECTOR}}</v>
      </c>
      <c r="L7" s="25" t="str">
        <f>"{{E" &amp; ROW(C7) - 6 &amp; "_BATERIA}}"</f>
        <v>{{E1_BATERIA}}</v>
      </c>
      <c r="M7" s="25" t="str">
        <f>"{{E" &amp; ROW(C7) - 6 &amp; "_TAPA_BATERIA}}"</f>
        <v>{{E1_TAPA_BATERIA}}</v>
      </c>
      <c r="N7" s="25" t="str">
        <f>"{{E" &amp; ROW(C7) - 6 &amp; "_TARJETA_ALM}}"</f>
        <v>{{E1_TARJETA_ALM}}</v>
      </c>
      <c r="O7" s="25" t="str">
        <f>"{{E" &amp; ROW(C7) - 6 &amp; "_CUBIERTA_TARJETA}}"</f>
        <v>{{E1_CUBIERTA_TARJETA}}</v>
      </c>
      <c r="P7" s="25" t="str">
        <f>"{{E" &amp; ROW(C7) - 6 &amp; "_CRISTAL}}"</f>
        <v>{{E1_CRISTAL}}</v>
      </c>
      <c r="Q7" s="25" t="str">
        <f>"{{E" &amp; ROW(C7) - 6 &amp; "_CARCAZA_SUP}}"</f>
        <v>{{E1_CARCAZA_SUP}}</v>
      </c>
      <c r="R7" s="25" t="str">
        <f>"{{E" &amp; ROW(C7) - 6 &amp; "_CARCAZA_INF}}"</f>
        <v>{{E1_CARCAZA_INF}}</v>
      </c>
      <c r="S7" s="25" t="str">
        <f>"{{E" &amp; ROW(C7) - 6 &amp; "_SIM}}"</f>
        <v>{{E1_SIM}}</v>
      </c>
      <c r="T7" s="32" t="str">
        <f>"{{E" &amp; ROW(C7) - 6 &amp; "_PROBLEMA}}"</f>
        <v>{{E1_PROBLEMA}}</v>
      </c>
      <c r="U7" s="33"/>
      <c r="V7" s="33"/>
      <c r="W7" s="33"/>
      <c r="X7" s="33"/>
      <c r="Y7" s="33"/>
      <c r="Z7" s="33"/>
      <c r="AA7" s="34"/>
      <c r="AB7" s="9"/>
      <c r="AC7" s="6"/>
    </row>
    <row r="8" spans="1:29" ht="138" customHeight="1">
      <c r="A8" s="27">
        <v>2</v>
      </c>
      <c r="B8" s="31" t="s">
        <v>45</v>
      </c>
      <c r="C8" s="29" t="str">
        <f t="shared" ref="C8:C26" si="0">"{{E" &amp; ROW(C8) - 6 &amp; "_SERIAL}}"</f>
        <v>{{E2_SERIAL}}</v>
      </c>
      <c r="D8" s="24" t="str">
        <f t="shared" ref="D8:D26" si="1">"{{E" &amp; ROW(D8) - 6 &amp; "_MODELO}}"</f>
        <v>{{E2_MODELO}}</v>
      </c>
      <c r="E8" s="25" t="str">
        <f t="shared" ref="E8:E26" si="2">"{{E" &amp; ROW(E8) - 6 &amp; "_LAPIZ}}"</f>
        <v>{{E2_LAPIZ}}</v>
      </c>
      <c r="F8" s="25" t="str">
        <f t="shared" ref="F8:F26" si="3">"{{E" &amp; ROW(F8) - 6 &amp; "_CUERDA}}"</f>
        <v>{{E2_CUERDA}}</v>
      </c>
      <c r="G8" s="25" t="str">
        <f t="shared" ref="G8:G26" si="4">"{{E" &amp; ROW(G8) - 6 &amp; "_CORREA}}"</f>
        <v>{{E2_CORREA}}</v>
      </c>
      <c r="H8" s="25" t="str">
        <f t="shared" ref="H8:H26" si="5">"{{E" &amp; ROW(C8) - 6 &amp; "_TECLADO_NUM}}"</f>
        <v>{{E2_TECLADO_NUM}}</v>
      </c>
      <c r="I8" s="25" t="str">
        <f t="shared" ref="I8:I26" si="6">"{{E" &amp; ROW(C8) - 6 &amp; "_TECLADO_COMPL}}"</f>
        <v>{{E2_TECLADO_COMPL}}</v>
      </c>
      <c r="J8" s="25" t="str">
        <f t="shared" ref="J8:J26" si="7">"{{E" &amp; ROW(C8) - 6 &amp; "_PANTALLA}}"</f>
        <v>{{E2_PANTALLA}}</v>
      </c>
      <c r="K8" s="26" t="str">
        <f t="shared" ref="K8:K26" si="8">"{{E" &amp; ROW(C8) - 6 &amp; "_PROTECTOR}}"</f>
        <v>{{E2_PROTECTOR}}</v>
      </c>
      <c r="L8" s="25" t="str">
        <f t="shared" ref="L8:L26" si="9">"{{E" &amp; ROW(C8) - 6 &amp; "_BATERIA}}"</f>
        <v>{{E2_BATERIA}}</v>
      </c>
      <c r="M8" s="25" t="str">
        <f t="shared" ref="M8:M26" si="10">"{{E" &amp; ROW(C8) - 6 &amp; "_TAPA_BATERIA}}"</f>
        <v>{{E2_TAPA_BATERIA}}</v>
      </c>
      <c r="N8" s="25" t="str">
        <f t="shared" ref="N8:N26" si="11">"{{E" &amp; ROW(C8) - 6 &amp; "_TARJETA_ALM}}"</f>
        <v>{{E2_TARJETA_ALM}}</v>
      </c>
      <c r="O8" s="25" t="str">
        <f t="shared" ref="O8:O26" si="12">"{{E" &amp; ROW(C8) - 6 &amp; "_CUBIERTA_TARJETA}}"</f>
        <v>{{E2_CUBIERTA_TARJETA}}</v>
      </c>
      <c r="P8" s="25" t="str">
        <f t="shared" ref="P8:P26" si="13">"{{E" &amp; ROW(C8) - 6 &amp; "_CRISTAL}}"</f>
        <v>{{E2_CRISTAL}}</v>
      </c>
      <c r="Q8" s="25" t="str">
        <f t="shared" ref="Q8:Q26" si="14">"{{E" &amp; ROW(C8) - 6 &amp; "_CARCAZA_SUP}}"</f>
        <v>{{E2_CARCAZA_SUP}}</v>
      </c>
      <c r="R8" s="25" t="str">
        <f t="shared" ref="R8:R26" si="15">"{{E" &amp; ROW(C8) - 6 &amp; "_CARCAZA_INF}}"</f>
        <v>{{E2_CARCAZA_INF}}</v>
      </c>
      <c r="S8" s="25" t="str">
        <f t="shared" ref="S8:S26" si="16">"{{E" &amp; ROW(C8) - 6 &amp; "_SIM}}"</f>
        <v>{{E2_SIM}}</v>
      </c>
      <c r="T8" s="32" t="str">
        <f t="shared" ref="T8:T26" si="17">"{{E" &amp; ROW(C8) - 6 &amp; "_PROBLEMA}}"</f>
        <v>{{E2_PROBLEMA}}</v>
      </c>
      <c r="U8" s="33"/>
      <c r="V8" s="33"/>
      <c r="W8" s="33"/>
      <c r="X8" s="33"/>
      <c r="Y8" s="33"/>
      <c r="Z8" s="33"/>
      <c r="AA8" s="34"/>
      <c r="AB8" s="9"/>
      <c r="AC8" s="6"/>
    </row>
    <row r="9" spans="1:29" ht="138" customHeight="1">
      <c r="A9" s="27">
        <v>3</v>
      </c>
      <c r="B9" s="31" t="s">
        <v>45</v>
      </c>
      <c r="C9" s="29" t="str">
        <f t="shared" si="0"/>
        <v>{{E3_SERIAL}}</v>
      </c>
      <c r="D9" s="24" t="str">
        <f t="shared" si="1"/>
        <v>{{E3_MODELO}}</v>
      </c>
      <c r="E9" s="25" t="str">
        <f t="shared" si="2"/>
        <v>{{E3_LAPIZ}}</v>
      </c>
      <c r="F9" s="25" t="str">
        <f t="shared" si="3"/>
        <v>{{E3_CUERDA}}</v>
      </c>
      <c r="G9" s="25" t="str">
        <f t="shared" si="4"/>
        <v>{{E3_CORREA}}</v>
      </c>
      <c r="H9" s="25" t="str">
        <f t="shared" si="5"/>
        <v>{{E3_TECLADO_NUM}}</v>
      </c>
      <c r="I9" s="25" t="str">
        <f t="shared" si="6"/>
        <v>{{E3_TECLADO_COMPL}}</v>
      </c>
      <c r="J9" s="25" t="str">
        <f t="shared" si="7"/>
        <v>{{E3_PANTALLA}}</v>
      </c>
      <c r="K9" s="26" t="str">
        <f t="shared" si="8"/>
        <v>{{E3_PROTECTOR}}</v>
      </c>
      <c r="L9" s="25" t="str">
        <f t="shared" si="9"/>
        <v>{{E3_BATERIA}}</v>
      </c>
      <c r="M9" s="25" t="str">
        <f t="shared" si="10"/>
        <v>{{E3_TAPA_BATERIA}}</v>
      </c>
      <c r="N9" s="25" t="str">
        <f t="shared" si="11"/>
        <v>{{E3_TARJETA_ALM}}</v>
      </c>
      <c r="O9" s="25" t="str">
        <f t="shared" si="12"/>
        <v>{{E3_CUBIERTA_TARJETA}}</v>
      </c>
      <c r="P9" s="25" t="str">
        <f t="shared" si="13"/>
        <v>{{E3_CRISTAL}}</v>
      </c>
      <c r="Q9" s="25" t="str">
        <f t="shared" si="14"/>
        <v>{{E3_CARCAZA_SUP}}</v>
      </c>
      <c r="R9" s="25" t="str">
        <f t="shared" si="15"/>
        <v>{{E3_CARCAZA_INF}}</v>
      </c>
      <c r="S9" s="25" t="str">
        <f t="shared" si="16"/>
        <v>{{E3_SIM}}</v>
      </c>
      <c r="T9" s="32" t="str">
        <f t="shared" si="17"/>
        <v>{{E3_PROBLEMA}}</v>
      </c>
      <c r="U9" s="33"/>
      <c r="V9" s="33"/>
      <c r="W9" s="33"/>
      <c r="X9" s="33"/>
      <c r="Y9" s="33"/>
      <c r="Z9" s="33"/>
      <c r="AA9" s="34"/>
      <c r="AB9" s="9"/>
      <c r="AC9" s="6"/>
    </row>
    <row r="10" spans="1:29" ht="138" customHeight="1">
      <c r="A10" s="27">
        <v>4</v>
      </c>
      <c r="B10" s="31" t="s">
        <v>45</v>
      </c>
      <c r="C10" s="29" t="str">
        <f t="shared" si="0"/>
        <v>{{E4_SERIAL}}</v>
      </c>
      <c r="D10" s="24" t="str">
        <f t="shared" si="1"/>
        <v>{{E4_MODELO}}</v>
      </c>
      <c r="E10" s="25" t="str">
        <f t="shared" si="2"/>
        <v>{{E4_LAPIZ}}</v>
      </c>
      <c r="F10" s="25" t="str">
        <f t="shared" si="3"/>
        <v>{{E4_CUERDA}}</v>
      </c>
      <c r="G10" s="25" t="str">
        <f t="shared" si="4"/>
        <v>{{E4_CORREA}}</v>
      </c>
      <c r="H10" s="25" t="str">
        <f t="shared" si="5"/>
        <v>{{E4_TECLADO_NUM}}</v>
      </c>
      <c r="I10" s="25" t="str">
        <f t="shared" si="6"/>
        <v>{{E4_TECLADO_COMPL}}</v>
      </c>
      <c r="J10" s="25" t="str">
        <f t="shared" si="7"/>
        <v>{{E4_PANTALLA}}</v>
      </c>
      <c r="K10" s="26" t="str">
        <f t="shared" si="8"/>
        <v>{{E4_PROTECTOR}}</v>
      </c>
      <c r="L10" s="25" t="str">
        <f t="shared" si="9"/>
        <v>{{E4_BATERIA}}</v>
      </c>
      <c r="M10" s="25" t="str">
        <f t="shared" si="10"/>
        <v>{{E4_TAPA_BATERIA}}</v>
      </c>
      <c r="N10" s="25" t="str">
        <f t="shared" si="11"/>
        <v>{{E4_TARJETA_ALM}}</v>
      </c>
      <c r="O10" s="25" t="str">
        <f t="shared" si="12"/>
        <v>{{E4_CUBIERTA_TARJETA}}</v>
      </c>
      <c r="P10" s="25" t="str">
        <f t="shared" si="13"/>
        <v>{{E4_CRISTAL}}</v>
      </c>
      <c r="Q10" s="25" t="str">
        <f t="shared" si="14"/>
        <v>{{E4_CARCAZA_SUP}}</v>
      </c>
      <c r="R10" s="25" t="str">
        <f t="shared" si="15"/>
        <v>{{E4_CARCAZA_INF}}</v>
      </c>
      <c r="S10" s="25" t="str">
        <f t="shared" si="16"/>
        <v>{{E4_SIM}}</v>
      </c>
      <c r="T10" s="32" t="str">
        <f t="shared" si="17"/>
        <v>{{E4_PROBLEMA}}</v>
      </c>
      <c r="U10" s="33"/>
      <c r="V10" s="33"/>
      <c r="W10" s="33"/>
      <c r="X10" s="33"/>
      <c r="Y10" s="33"/>
      <c r="Z10" s="33"/>
      <c r="AA10" s="34"/>
      <c r="AB10" s="9"/>
      <c r="AC10" s="6"/>
    </row>
    <row r="11" spans="1:29" ht="138" customHeight="1">
      <c r="A11" s="27">
        <v>5</v>
      </c>
      <c r="B11" s="31" t="s">
        <v>45</v>
      </c>
      <c r="C11" s="29" t="str">
        <f t="shared" si="0"/>
        <v>{{E5_SERIAL}}</v>
      </c>
      <c r="D11" s="24" t="str">
        <f t="shared" si="1"/>
        <v>{{E5_MODELO}}</v>
      </c>
      <c r="E11" s="25" t="str">
        <f t="shared" si="2"/>
        <v>{{E5_LAPIZ}}</v>
      </c>
      <c r="F11" s="25" t="str">
        <f t="shared" si="3"/>
        <v>{{E5_CUERDA}}</v>
      </c>
      <c r="G11" s="25" t="str">
        <f t="shared" si="4"/>
        <v>{{E5_CORREA}}</v>
      </c>
      <c r="H11" s="25" t="str">
        <f t="shared" si="5"/>
        <v>{{E5_TECLADO_NUM}}</v>
      </c>
      <c r="I11" s="25" t="str">
        <f t="shared" si="6"/>
        <v>{{E5_TECLADO_COMPL}}</v>
      </c>
      <c r="J11" s="25" t="str">
        <f t="shared" si="7"/>
        <v>{{E5_PANTALLA}}</v>
      </c>
      <c r="K11" s="26" t="str">
        <f t="shared" si="8"/>
        <v>{{E5_PROTECTOR}}</v>
      </c>
      <c r="L11" s="25" t="str">
        <f t="shared" si="9"/>
        <v>{{E5_BATERIA}}</v>
      </c>
      <c r="M11" s="25" t="str">
        <f t="shared" si="10"/>
        <v>{{E5_TAPA_BATERIA}}</v>
      </c>
      <c r="N11" s="25" t="str">
        <f t="shared" si="11"/>
        <v>{{E5_TARJETA_ALM}}</v>
      </c>
      <c r="O11" s="25" t="str">
        <f t="shared" si="12"/>
        <v>{{E5_CUBIERTA_TARJETA}}</v>
      </c>
      <c r="P11" s="25" t="str">
        <f t="shared" si="13"/>
        <v>{{E5_CRISTAL}}</v>
      </c>
      <c r="Q11" s="25" t="str">
        <f t="shared" si="14"/>
        <v>{{E5_CARCAZA_SUP}}</v>
      </c>
      <c r="R11" s="25" t="str">
        <f t="shared" si="15"/>
        <v>{{E5_CARCAZA_INF}}</v>
      </c>
      <c r="S11" s="25" t="str">
        <f t="shared" si="16"/>
        <v>{{E5_SIM}}</v>
      </c>
      <c r="T11" s="32" t="str">
        <f t="shared" si="17"/>
        <v>{{E5_PROBLEMA}}</v>
      </c>
      <c r="U11" s="33"/>
      <c r="V11" s="33"/>
      <c r="W11" s="33"/>
      <c r="X11" s="33"/>
      <c r="Y11" s="33"/>
      <c r="Z11" s="33"/>
      <c r="AA11" s="34"/>
      <c r="AB11" s="9"/>
      <c r="AC11" s="6"/>
    </row>
    <row r="12" spans="1:29" ht="138" customHeight="1">
      <c r="A12" s="27">
        <v>6</v>
      </c>
      <c r="B12" s="31" t="s">
        <v>45</v>
      </c>
      <c r="C12" s="29" t="str">
        <f t="shared" si="0"/>
        <v>{{E6_SERIAL}}</v>
      </c>
      <c r="D12" s="24" t="str">
        <f t="shared" si="1"/>
        <v>{{E6_MODELO}}</v>
      </c>
      <c r="E12" s="25" t="str">
        <f t="shared" si="2"/>
        <v>{{E6_LAPIZ}}</v>
      </c>
      <c r="F12" s="25" t="str">
        <f t="shared" si="3"/>
        <v>{{E6_CUERDA}}</v>
      </c>
      <c r="G12" s="25" t="str">
        <f t="shared" si="4"/>
        <v>{{E6_CORREA}}</v>
      </c>
      <c r="H12" s="25" t="str">
        <f t="shared" si="5"/>
        <v>{{E6_TECLADO_NUM}}</v>
      </c>
      <c r="I12" s="25" t="str">
        <f t="shared" si="6"/>
        <v>{{E6_TECLADO_COMPL}}</v>
      </c>
      <c r="J12" s="25" t="str">
        <f t="shared" si="7"/>
        <v>{{E6_PANTALLA}}</v>
      </c>
      <c r="K12" s="26" t="str">
        <f t="shared" si="8"/>
        <v>{{E6_PROTECTOR}}</v>
      </c>
      <c r="L12" s="25" t="str">
        <f t="shared" si="9"/>
        <v>{{E6_BATERIA}}</v>
      </c>
      <c r="M12" s="25" t="str">
        <f t="shared" si="10"/>
        <v>{{E6_TAPA_BATERIA}}</v>
      </c>
      <c r="N12" s="25" t="str">
        <f t="shared" si="11"/>
        <v>{{E6_TARJETA_ALM}}</v>
      </c>
      <c r="O12" s="25" t="str">
        <f t="shared" si="12"/>
        <v>{{E6_CUBIERTA_TARJETA}}</v>
      </c>
      <c r="P12" s="25" t="str">
        <f t="shared" si="13"/>
        <v>{{E6_CRISTAL}}</v>
      </c>
      <c r="Q12" s="25" t="str">
        <f t="shared" si="14"/>
        <v>{{E6_CARCAZA_SUP}}</v>
      </c>
      <c r="R12" s="25" t="str">
        <f t="shared" si="15"/>
        <v>{{E6_CARCAZA_INF}}</v>
      </c>
      <c r="S12" s="25" t="str">
        <f t="shared" si="16"/>
        <v>{{E6_SIM}}</v>
      </c>
      <c r="T12" s="32" t="str">
        <f t="shared" si="17"/>
        <v>{{E6_PROBLEMA}}</v>
      </c>
      <c r="U12" s="33"/>
      <c r="V12" s="33"/>
      <c r="W12" s="33"/>
      <c r="X12" s="33"/>
      <c r="Y12" s="33"/>
      <c r="Z12" s="33"/>
      <c r="AA12" s="34"/>
      <c r="AB12" s="9"/>
      <c r="AC12" s="6"/>
    </row>
    <row r="13" spans="1:29" ht="138" customHeight="1">
      <c r="A13" s="27">
        <v>7</v>
      </c>
      <c r="B13" s="31" t="s">
        <v>45</v>
      </c>
      <c r="C13" s="29" t="str">
        <f t="shared" si="0"/>
        <v>{{E7_SERIAL}}</v>
      </c>
      <c r="D13" s="24" t="str">
        <f t="shared" si="1"/>
        <v>{{E7_MODELO}}</v>
      </c>
      <c r="E13" s="25" t="str">
        <f t="shared" si="2"/>
        <v>{{E7_LAPIZ}}</v>
      </c>
      <c r="F13" s="25" t="str">
        <f t="shared" si="3"/>
        <v>{{E7_CUERDA}}</v>
      </c>
      <c r="G13" s="25" t="str">
        <f t="shared" si="4"/>
        <v>{{E7_CORREA}}</v>
      </c>
      <c r="H13" s="25" t="str">
        <f t="shared" si="5"/>
        <v>{{E7_TECLADO_NUM}}</v>
      </c>
      <c r="I13" s="25" t="str">
        <f t="shared" si="6"/>
        <v>{{E7_TECLADO_COMPL}}</v>
      </c>
      <c r="J13" s="25" t="str">
        <f t="shared" si="7"/>
        <v>{{E7_PANTALLA}}</v>
      </c>
      <c r="K13" s="26" t="str">
        <f t="shared" si="8"/>
        <v>{{E7_PROTECTOR}}</v>
      </c>
      <c r="L13" s="25" t="str">
        <f t="shared" si="9"/>
        <v>{{E7_BATERIA}}</v>
      </c>
      <c r="M13" s="25" t="str">
        <f t="shared" si="10"/>
        <v>{{E7_TAPA_BATERIA}}</v>
      </c>
      <c r="N13" s="25" t="str">
        <f t="shared" si="11"/>
        <v>{{E7_TARJETA_ALM}}</v>
      </c>
      <c r="O13" s="25" t="str">
        <f t="shared" si="12"/>
        <v>{{E7_CUBIERTA_TARJETA}}</v>
      </c>
      <c r="P13" s="25" t="str">
        <f t="shared" si="13"/>
        <v>{{E7_CRISTAL}}</v>
      </c>
      <c r="Q13" s="25" t="str">
        <f t="shared" si="14"/>
        <v>{{E7_CARCAZA_SUP}}</v>
      </c>
      <c r="R13" s="25" t="str">
        <f t="shared" si="15"/>
        <v>{{E7_CARCAZA_INF}}</v>
      </c>
      <c r="S13" s="25" t="str">
        <f t="shared" si="16"/>
        <v>{{E7_SIM}}</v>
      </c>
      <c r="T13" s="32" t="str">
        <f t="shared" si="17"/>
        <v>{{E7_PROBLEMA}}</v>
      </c>
      <c r="U13" s="33"/>
      <c r="V13" s="33"/>
      <c r="W13" s="33"/>
      <c r="X13" s="33"/>
      <c r="Y13" s="33"/>
      <c r="Z13" s="33"/>
      <c r="AA13" s="34"/>
      <c r="AB13" s="9"/>
      <c r="AC13" s="6"/>
    </row>
    <row r="14" spans="1:29" ht="138" customHeight="1">
      <c r="A14" s="27">
        <v>8</v>
      </c>
      <c r="B14" s="31" t="s">
        <v>45</v>
      </c>
      <c r="C14" s="29" t="str">
        <f t="shared" si="0"/>
        <v>{{E8_SERIAL}}</v>
      </c>
      <c r="D14" s="24" t="str">
        <f t="shared" si="1"/>
        <v>{{E8_MODELO}}</v>
      </c>
      <c r="E14" s="25" t="str">
        <f t="shared" si="2"/>
        <v>{{E8_LAPIZ}}</v>
      </c>
      <c r="F14" s="25" t="str">
        <f t="shared" si="3"/>
        <v>{{E8_CUERDA}}</v>
      </c>
      <c r="G14" s="25" t="str">
        <f t="shared" si="4"/>
        <v>{{E8_CORREA}}</v>
      </c>
      <c r="H14" s="25" t="str">
        <f t="shared" si="5"/>
        <v>{{E8_TECLADO_NUM}}</v>
      </c>
      <c r="I14" s="25" t="str">
        <f t="shared" si="6"/>
        <v>{{E8_TECLADO_COMPL}}</v>
      </c>
      <c r="J14" s="25" t="str">
        <f t="shared" si="7"/>
        <v>{{E8_PANTALLA}}</v>
      </c>
      <c r="K14" s="26" t="str">
        <f t="shared" si="8"/>
        <v>{{E8_PROTECTOR}}</v>
      </c>
      <c r="L14" s="25" t="str">
        <f t="shared" si="9"/>
        <v>{{E8_BATERIA}}</v>
      </c>
      <c r="M14" s="25" t="str">
        <f t="shared" si="10"/>
        <v>{{E8_TAPA_BATERIA}}</v>
      </c>
      <c r="N14" s="25" t="str">
        <f t="shared" si="11"/>
        <v>{{E8_TARJETA_ALM}}</v>
      </c>
      <c r="O14" s="25" t="str">
        <f t="shared" si="12"/>
        <v>{{E8_CUBIERTA_TARJETA}}</v>
      </c>
      <c r="P14" s="25" t="str">
        <f t="shared" si="13"/>
        <v>{{E8_CRISTAL}}</v>
      </c>
      <c r="Q14" s="25" t="str">
        <f t="shared" si="14"/>
        <v>{{E8_CARCAZA_SUP}}</v>
      </c>
      <c r="R14" s="25" t="str">
        <f t="shared" si="15"/>
        <v>{{E8_CARCAZA_INF}}</v>
      </c>
      <c r="S14" s="25" t="str">
        <f t="shared" si="16"/>
        <v>{{E8_SIM}}</v>
      </c>
      <c r="T14" s="32" t="str">
        <f t="shared" si="17"/>
        <v>{{E8_PROBLEMA}}</v>
      </c>
      <c r="U14" s="33"/>
      <c r="V14" s="33"/>
      <c r="W14" s="33"/>
      <c r="X14" s="33"/>
      <c r="Y14" s="33"/>
      <c r="Z14" s="33"/>
      <c r="AA14" s="34"/>
      <c r="AB14" s="9"/>
      <c r="AC14" s="6"/>
    </row>
    <row r="15" spans="1:29" ht="138" customHeight="1">
      <c r="A15" s="27">
        <v>9</v>
      </c>
      <c r="B15" s="31" t="s">
        <v>45</v>
      </c>
      <c r="C15" s="29" t="str">
        <f t="shared" si="0"/>
        <v>{{E9_SERIAL}}</v>
      </c>
      <c r="D15" s="24" t="str">
        <f t="shared" si="1"/>
        <v>{{E9_MODELO}}</v>
      </c>
      <c r="E15" s="25" t="str">
        <f t="shared" si="2"/>
        <v>{{E9_LAPIZ}}</v>
      </c>
      <c r="F15" s="25" t="str">
        <f t="shared" si="3"/>
        <v>{{E9_CUERDA}}</v>
      </c>
      <c r="G15" s="25" t="str">
        <f t="shared" si="4"/>
        <v>{{E9_CORREA}}</v>
      </c>
      <c r="H15" s="25" t="str">
        <f t="shared" si="5"/>
        <v>{{E9_TECLADO_NUM}}</v>
      </c>
      <c r="I15" s="25" t="str">
        <f t="shared" si="6"/>
        <v>{{E9_TECLADO_COMPL}}</v>
      </c>
      <c r="J15" s="25" t="str">
        <f t="shared" si="7"/>
        <v>{{E9_PANTALLA}}</v>
      </c>
      <c r="K15" s="26" t="str">
        <f t="shared" si="8"/>
        <v>{{E9_PROTECTOR}}</v>
      </c>
      <c r="L15" s="25" t="str">
        <f t="shared" si="9"/>
        <v>{{E9_BATERIA}}</v>
      </c>
      <c r="M15" s="25" t="str">
        <f t="shared" si="10"/>
        <v>{{E9_TAPA_BATERIA}}</v>
      </c>
      <c r="N15" s="25" t="str">
        <f t="shared" si="11"/>
        <v>{{E9_TARJETA_ALM}}</v>
      </c>
      <c r="O15" s="25" t="str">
        <f t="shared" si="12"/>
        <v>{{E9_CUBIERTA_TARJETA}}</v>
      </c>
      <c r="P15" s="25" t="str">
        <f t="shared" si="13"/>
        <v>{{E9_CRISTAL}}</v>
      </c>
      <c r="Q15" s="25" t="str">
        <f t="shared" si="14"/>
        <v>{{E9_CARCAZA_SUP}}</v>
      </c>
      <c r="R15" s="25" t="str">
        <f t="shared" si="15"/>
        <v>{{E9_CARCAZA_INF}}</v>
      </c>
      <c r="S15" s="25" t="str">
        <f t="shared" si="16"/>
        <v>{{E9_SIM}}</v>
      </c>
      <c r="T15" s="32" t="str">
        <f t="shared" si="17"/>
        <v>{{E9_PROBLEMA}}</v>
      </c>
      <c r="U15" s="33"/>
      <c r="V15" s="33"/>
      <c r="W15" s="33"/>
      <c r="X15" s="33"/>
      <c r="Y15" s="33"/>
      <c r="Z15" s="33"/>
      <c r="AA15" s="34"/>
      <c r="AB15" s="9"/>
      <c r="AC15" s="6"/>
    </row>
    <row r="16" spans="1:29" ht="138" customHeight="1">
      <c r="A16" s="27">
        <v>10</v>
      </c>
      <c r="B16" s="31" t="s">
        <v>45</v>
      </c>
      <c r="C16" s="29" t="str">
        <f t="shared" si="0"/>
        <v>{{E10_SERIAL}}</v>
      </c>
      <c r="D16" s="24" t="str">
        <f t="shared" si="1"/>
        <v>{{E10_MODELO}}</v>
      </c>
      <c r="E16" s="25" t="str">
        <f t="shared" si="2"/>
        <v>{{E10_LAPIZ}}</v>
      </c>
      <c r="F16" s="25" t="str">
        <f t="shared" si="3"/>
        <v>{{E10_CUERDA}}</v>
      </c>
      <c r="G16" s="25" t="str">
        <f t="shared" si="4"/>
        <v>{{E10_CORREA}}</v>
      </c>
      <c r="H16" s="25" t="str">
        <f t="shared" si="5"/>
        <v>{{E10_TECLADO_NUM}}</v>
      </c>
      <c r="I16" s="25" t="str">
        <f t="shared" si="6"/>
        <v>{{E10_TECLADO_COMPL}}</v>
      </c>
      <c r="J16" s="25" t="str">
        <f t="shared" si="7"/>
        <v>{{E10_PANTALLA}}</v>
      </c>
      <c r="K16" s="26" t="str">
        <f t="shared" si="8"/>
        <v>{{E10_PROTECTOR}}</v>
      </c>
      <c r="L16" s="25" t="str">
        <f t="shared" si="9"/>
        <v>{{E10_BATERIA}}</v>
      </c>
      <c r="M16" s="25" t="str">
        <f t="shared" si="10"/>
        <v>{{E10_TAPA_BATERIA}}</v>
      </c>
      <c r="N16" s="25" t="str">
        <f t="shared" si="11"/>
        <v>{{E10_TARJETA_ALM}}</v>
      </c>
      <c r="O16" s="25" t="str">
        <f t="shared" si="12"/>
        <v>{{E10_CUBIERTA_TARJETA}}</v>
      </c>
      <c r="P16" s="25" t="str">
        <f t="shared" si="13"/>
        <v>{{E10_CRISTAL}}</v>
      </c>
      <c r="Q16" s="25" t="str">
        <f t="shared" si="14"/>
        <v>{{E10_CARCAZA_SUP}}</v>
      </c>
      <c r="R16" s="25" t="str">
        <f t="shared" si="15"/>
        <v>{{E10_CARCAZA_INF}}</v>
      </c>
      <c r="S16" s="25" t="str">
        <f t="shared" si="16"/>
        <v>{{E10_SIM}}</v>
      </c>
      <c r="T16" s="32" t="str">
        <f t="shared" si="17"/>
        <v>{{E10_PROBLEMA}}</v>
      </c>
      <c r="U16" s="33"/>
      <c r="V16" s="33"/>
      <c r="W16" s="33"/>
      <c r="X16" s="33"/>
      <c r="Y16" s="33"/>
      <c r="Z16" s="33"/>
      <c r="AA16" s="34"/>
      <c r="AB16" s="9"/>
      <c r="AC16" s="6"/>
    </row>
    <row r="17" spans="1:29" ht="138" customHeight="1">
      <c r="A17" s="27">
        <v>11</v>
      </c>
      <c r="B17" s="31" t="s">
        <v>45</v>
      </c>
      <c r="C17" s="29" t="str">
        <f t="shared" si="0"/>
        <v>{{E11_SERIAL}}</v>
      </c>
      <c r="D17" s="24" t="str">
        <f t="shared" si="1"/>
        <v>{{E11_MODELO}}</v>
      </c>
      <c r="E17" s="25" t="str">
        <f t="shared" si="2"/>
        <v>{{E11_LAPIZ}}</v>
      </c>
      <c r="F17" s="25" t="str">
        <f t="shared" si="3"/>
        <v>{{E11_CUERDA}}</v>
      </c>
      <c r="G17" s="25" t="str">
        <f t="shared" si="4"/>
        <v>{{E11_CORREA}}</v>
      </c>
      <c r="H17" s="25" t="str">
        <f t="shared" si="5"/>
        <v>{{E11_TECLADO_NUM}}</v>
      </c>
      <c r="I17" s="25" t="str">
        <f t="shared" si="6"/>
        <v>{{E11_TECLADO_COMPL}}</v>
      </c>
      <c r="J17" s="25" t="str">
        <f t="shared" si="7"/>
        <v>{{E11_PANTALLA}}</v>
      </c>
      <c r="K17" s="26" t="str">
        <f t="shared" si="8"/>
        <v>{{E11_PROTECTOR}}</v>
      </c>
      <c r="L17" s="25" t="str">
        <f t="shared" si="9"/>
        <v>{{E11_BATERIA}}</v>
      </c>
      <c r="M17" s="25" t="str">
        <f t="shared" si="10"/>
        <v>{{E11_TAPA_BATERIA}}</v>
      </c>
      <c r="N17" s="25" t="str">
        <f t="shared" si="11"/>
        <v>{{E11_TARJETA_ALM}}</v>
      </c>
      <c r="O17" s="25" t="str">
        <f t="shared" si="12"/>
        <v>{{E11_CUBIERTA_TARJETA}}</v>
      </c>
      <c r="P17" s="25" t="str">
        <f t="shared" si="13"/>
        <v>{{E11_CRISTAL}}</v>
      </c>
      <c r="Q17" s="25" t="str">
        <f t="shared" si="14"/>
        <v>{{E11_CARCAZA_SUP}}</v>
      </c>
      <c r="R17" s="25" t="str">
        <f t="shared" si="15"/>
        <v>{{E11_CARCAZA_INF}}</v>
      </c>
      <c r="S17" s="25" t="str">
        <f t="shared" si="16"/>
        <v>{{E11_SIM}}</v>
      </c>
      <c r="T17" s="32" t="str">
        <f t="shared" si="17"/>
        <v>{{E11_PROBLEMA}}</v>
      </c>
      <c r="U17" s="33"/>
      <c r="V17" s="33"/>
      <c r="W17" s="33"/>
      <c r="X17" s="33"/>
      <c r="Y17" s="33"/>
      <c r="Z17" s="33"/>
      <c r="AA17" s="34"/>
      <c r="AB17" s="9"/>
      <c r="AC17" s="6"/>
    </row>
    <row r="18" spans="1:29" ht="138" customHeight="1">
      <c r="A18" s="27">
        <v>12</v>
      </c>
      <c r="B18" s="31" t="s">
        <v>45</v>
      </c>
      <c r="C18" s="29" t="str">
        <f t="shared" si="0"/>
        <v>{{E12_SERIAL}}</v>
      </c>
      <c r="D18" s="24" t="str">
        <f t="shared" si="1"/>
        <v>{{E12_MODELO}}</v>
      </c>
      <c r="E18" s="25" t="str">
        <f t="shared" si="2"/>
        <v>{{E12_LAPIZ}}</v>
      </c>
      <c r="F18" s="25" t="str">
        <f t="shared" si="3"/>
        <v>{{E12_CUERDA}}</v>
      </c>
      <c r="G18" s="25" t="str">
        <f t="shared" si="4"/>
        <v>{{E12_CORREA}}</v>
      </c>
      <c r="H18" s="25" t="str">
        <f t="shared" si="5"/>
        <v>{{E12_TECLADO_NUM}}</v>
      </c>
      <c r="I18" s="25" t="str">
        <f t="shared" si="6"/>
        <v>{{E12_TECLADO_COMPL}}</v>
      </c>
      <c r="J18" s="25" t="str">
        <f t="shared" si="7"/>
        <v>{{E12_PANTALLA}}</v>
      </c>
      <c r="K18" s="26" t="str">
        <f t="shared" si="8"/>
        <v>{{E12_PROTECTOR}}</v>
      </c>
      <c r="L18" s="25" t="str">
        <f t="shared" si="9"/>
        <v>{{E12_BATERIA}}</v>
      </c>
      <c r="M18" s="25" t="str">
        <f t="shared" si="10"/>
        <v>{{E12_TAPA_BATERIA}}</v>
      </c>
      <c r="N18" s="25" t="str">
        <f t="shared" si="11"/>
        <v>{{E12_TARJETA_ALM}}</v>
      </c>
      <c r="O18" s="25" t="str">
        <f t="shared" si="12"/>
        <v>{{E12_CUBIERTA_TARJETA}}</v>
      </c>
      <c r="P18" s="25" t="str">
        <f t="shared" si="13"/>
        <v>{{E12_CRISTAL}}</v>
      </c>
      <c r="Q18" s="25" t="str">
        <f t="shared" si="14"/>
        <v>{{E12_CARCAZA_SUP}}</v>
      </c>
      <c r="R18" s="25" t="str">
        <f t="shared" si="15"/>
        <v>{{E12_CARCAZA_INF}}</v>
      </c>
      <c r="S18" s="25" t="str">
        <f t="shared" si="16"/>
        <v>{{E12_SIM}}</v>
      </c>
      <c r="T18" s="32" t="str">
        <f t="shared" si="17"/>
        <v>{{E12_PROBLEMA}}</v>
      </c>
      <c r="U18" s="33"/>
      <c r="V18" s="33"/>
      <c r="W18" s="33"/>
      <c r="X18" s="33"/>
      <c r="Y18" s="33"/>
      <c r="Z18" s="33"/>
      <c r="AA18" s="34"/>
      <c r="AB18" s="9"/>
      <c r="AC18" s="6"/>
    </row>
    <row r="19" spans="1:29" ht="138" customHeight="1">
      <c r="A19" s="27">
        <v>13</v>
      </c>
      <c r="B19" s="31" t="s">
        <v>45</v>
      </c>
      <c r="C19" s="29" t="str">
        <f t="shared" si="0"/>
        <v>{{E13_SERIAL}}</v>
      </c>
      <c r="D19" s="24" t="str">
        <f t="shared" si="1"/>
        <v>{{E13_MODELO}}</v>
      </c>
      <c r="E19" s="25" t="str">
        <f t="shared" si="2"/>
        <v>{{E13_LAPIZ}}</v>
      </c>
      <c r="F19" s="25" t="str">
        <f t="shared" si="3"/>
        <v>{{E13_CUERDA}}</v>
      </c>
      <c r="G19" s="25" t="str">
        <f t="shared" si="4"/>
        <v>{{E13_CORREA}}</v>
      </c>
      <c r="H19" s="25" t="str">
        <f t="shared" si="5"/>
        <v>{{E13_TECLADO_NUM}}</v>
      </c>
      <c r="I19" s="25" t="str">
        <f t="shared" si="6"/>
        <v>{{E13_TECLADO_COMPL}}</v>
      </c>
      <c r="J19" s="25" t="str">
        <f t="shared" si="7"/>
        <v>{{E13_PANTALLA}}</v>
      </c>
      <c r="K19" s="26" t="str">
        <f t="shared" si="8"/>
        <v>{{E13_PROTECTOR}}</v>
      </c>
      <c r="L19" s="25" t="str">
        <f t="shared" si="9"/>
        <v>{{E13_BATERIA}}</v>
      </c>
      <c r="M19" s="25" t="str">
        <f t="shared" si="10"/>
        <v>{{E13_TAPA_BATERIA}}</v>
      </c>
      <c r="N19" s="25" t="str">
        <f t="shared" si="11"/>
        <v>{{E13_TARJETA_ALM}}</v>
      </c>
      <c r="O19" s="25" t="str">
        <f t="shared" si="12"/>
        <v>{{E13_CUBIERTA_TARJETA}}</v>
      </c>
      <c r="P19" s="25" t="str">
        <f t="shared" si="13"/>
        <v>{{E13_CRISTAL}}</v>
      </c>
      <c r="Q19" s="25" t="str">
        <f t="shared" si="14"/>
        <v>{{E13_CARCAZA_SUP}}</v>
      </c>
      <c r="R19" s="25" t="str">
        <f t="shared" si="15"/>
        <v>{{E13_CARCAZA_INF}}</v>
      </c>
      <c r="S19" s="25" t="str">
        <f t="shared" si="16"/>
        <v>{{E13_SIM}}</v>
      </c>
      <c r="T19" s="32" t="str">
        <f t="shared" si="17"/>
        <v>{{E13_PROBLEMA}}</v>
      </c>
      <c r="U19" s="33"/>
      <c r="V19" s="33"/>
      <c r="W19" s="33"/>
      <c r="X19" s="33"/>
      <c r="Y19" s="33"/>
      <c r="Z19" s="33"/>
      <c r="AA19" s="34"/>
      <c r="AB19" s="9"/>
      <c r="AC19" s="6"/>
    </row>
    <row r="20" spans="1:29" ht="138" customHeight="1">
      <c r="A20" s="27">
        <v>14</v>
      </c>
      <c r="B20" s="31" t="s">
        <v>45</v>
      </c>
      <c r="C20" s="29" t="str">
        <f t="shared" si="0"/>
        <v>{{E14_SERIAL}}</v>
      </c>
      <c r="D20" s="24" t="str">
        <f t="shared" si="1"/>
        <v>{{E14_MODELO}}</v>
      </c>
      <c r="E20" s="25" t="str">
        <f t="shared" si="2"/>
        <v>{{E14_LAPIZ}}</v>
      </c>
      <c r="F20" s="25" t="str">
        <f t="shared" si="3"/>
        <v>{{E14_CUERDA}}</v>
      </c>
      <c r="G20" s="25" t="str">
        <f t="shared" si="4"/>
        <v>{{E14_CORREA}}</v>
      </c>
      <c r="H20" s="25" t="str">
        <f t="shared" si="5"/>
        <v>{{E14_TECLADO_NUM}}</v>
      </c>
      <c r="I20" s="25" t="str">
        <f t="shared" si="6"/>
        <v>{{E14_TECLADO_COMPL}}</v>
      </c>
      <c r="J20" s="25" t="str">
        <f t="shared" si="7"/>
        <v>{{E14_PANTALLA}}</v>
      </c>
      <c r="K20" s="26" t="str">
        <f t="shared" si="8"/>
        <v>{{E14_PROTECTOR}}</v>
      </c>
      <c r="L20" s="25" t="str">
        <f t="shared" si="9"/>
        <v>{{E14_BATERIA}}</v>
      </c>
      <c r="M20" s="25" t="str">
        <f t="shared" si="10"/>
        <v>{{E14_TAPA_BATERIA}}</v>
      </c>
      <c r="N20" s="25" t="str">
        <f t="shared" si="11"/>
        <v>{{E14_TARJETA_ALM}}</v>
      </c>
      <c r="O20" s="25" t="str">
        <f t="shared" si="12"/>
        <v>{{E14_CUBIERTA_TARJETA}}</v>
      </c>
      <c r="P20" s="25" t="str">
        <f t="shared" si="13"/>
        <v>{{E14_CRISTAL}}</v>
      </c>
      <c r="Q20" s="25" t="str">
        <f t="shared" si="14"/>
        <v>{{E14_CARCAZA_SUP}}</v>
      </c>
      <c r="R20" s="25" t="str">
        <f t="shared" si="15"/>
        <v>{{E14_CARCAZA_INF}}</v>
      </c>
      <c r="S20" s="25" t="str">
        <f t="shared" si="16"/>
        <v>{{E14_SIM}}</v>
      </c>
      <c r="T20" s="32" t="str">
        <f t="shared" si="17"/>
        <v>{{E14_PROBLEMA}}</v>
      </c>
      <c r="U20" s="33"/>
      <c r="V20" s="33"/>
      <c r="W20" s="33"/>
      <c r="X20" s="33"/>
      <c r="Y20" s="33"/>
      <c r="Z20" s="33"/>
      <c r="AA20" s="34"/>
      <c r="AB20" s="9"/>
      <c r="AC20" s="6"/>
    </row>
    <row r="21" spans="1:29" ht="138" customHeight="1">
      <c r="A21" s="27">
        <v>15</v>
      </c>
      <c r="B21" s="31" t="s">
        <v>45</v>
      </c>
      <c r="C21" s="29" t="str">
        <f t="shared" si="0"/>
        <v>{{E15_SERIAL}}</v>
      </c>
      <c r="D21" s="24" t="str">
        <f t="shared" si="1"/>
        <v>{{E15_MODELO}}</v>
      </c>
      <c r="E21" s="25" t="str">
        <f t="shared" si="2"/>
        <v>{{E15_LAPIZ}}</v>
      </c>
      <c r="F21" s="25" t="str">
        <f t="shared" si="3"/>
        <v>{{E15_CUERDA}}</v>
      </c>
      <c r="G21" s="25" t="str">
        <f t="shared" si="4"/>
        <v>{{E15_CORREA}}</v>
      </c>
      <c r="H21" s="25" t="str">
        <f t="shared" si="5"/>
        <v>{{E15_TECLADO_NUM}}</v>
      </c>
      <c r="I21" s="25" t="str">
        <f t="shared" si="6"/>
        <v>{{E15_TECLADO_COMPL}}</v>
      </c>
      <c r="J21" s="25" t="str">
        <f t="shared" si="7"/>
        <v>{{E15_PANTALLA}}</v>
      </c>
      <c r="K21" s="26" t="str">
        <f t="shared" si="8"/>
        <v>{{E15_PROTECTOR}}</v>
      </c>
      <c r="L21" s="25" t="str">
        <f t="shared" si="9"/>
        <v>{{E15_BATERIA}}</v>
      </c>
      <c r="M21" s="25" t="str">
        <f t="shared" si="10"/>
        <v>{{E15_TAPA_BATERIA}}</v>
      </c>
      <c r="N21" s="25" t="str">
        <f t="shared" si="11"/>
        <v>{{E15_TARJETA_ALM}}</v>
      </c>
      <c r="O21" s="25" t="str">
        <f t="shared" si="12"/>
        <v>{{E15_CUBIERTA_TARJETA}}</v>
      </c>
      <c r="P21" s="25" t="str">
        <f t="shared" si="13"/>
        <v>{{E15_CRISTAL}}</v>
      </c>
      <c r="Q21" s="25" t="str">
        <f t="shared" si="14"/>
        <v>{{E15_CARCAZA_SUP}}</v>
      </c>
      <c r="R21" s="25" t="str">
        <f t="shared" si="15"/>
        <v>{{E15_CARCAZA_INF}}</v>
      </c>
      <c r="S21" s="25" t="str">
        <f t="shared" si="16"/>
        <v>{{E15_SIM}}</v>
      </c>
      <c r="T21" s="32" t="str">
        <f t="shared" si="17"/>
        <v>{{E15_PROBLEMA}}</v>
      </c>
      <c r="U21" s="33"/>
      <c r="V21" s="33"/>
      <c r="W21" s="33"/>
      <c r="X21" s="33"/>
      <c r="Y21" s="33"/>
      <c r="Z21" s="33"/>
      <c r="AA21" s="34"/>
      <c r="AB21" s="9"/>
      <c r="AC21" s="6"/>
    </row>
    <row r="22" spans="1:29" ht="138" customHeight="1">
      <c r="A22" s="27">
        <v>16</v>
      </c>
      <c r="B22" s="31" t="s">
        <v>45</v>
      </c>
      <c r="C22" s="29" t="str">
        <f t="shared" si="0"/>
        <v>{{E16_SERIAL}}</v>
      </c>
      <c r="D22" s="24" t="str">
        <f t="shared" si="1"/>
        <v>{{E16_MODELO}}</v>
      </c>
      <c r="E22" s="25" t="str">
        <f t="shared" si="2"/>
        <v>{{E16_LAPIZ}}</v>
      </c>
      <c r="F22" s="25" t="str">
        <f t="shared" si="3"/>
        <v>{{E16_CUERDA}}</v>
      </c>
      <c r="G22" s="25" t="str">
        <f t="shared" si="4"/>
        <v>{{E16_CORREA}}</v>
      </c>
      <c r="H22" s="25" t="str">
        <f t="shared" si="5"/>
        <v>{{E16_TECLADO_NUM}}</v>
      </c>
      <c r="I22" s="25" t="str">
        <f t="shared" si="6"/>
        <v>{{E16_TECLADO_COMPL}}</v>
      </c>
      <c r="J22" s="25" t="str">
        <f t="shared" si="7"/>
        <v>{{E16_PANTALLA}}</v>
      </c>
      <c r="K22" s="26" t="str">
        <f t="shared" si="8"/>
        <v>{{E16_PROTECTOR}}</v>
      </c>
      <c r="L22" s="25" t="str">
        <f t="shared" si="9"/>
        <v>{{E16_BATERIA}}</v>
      </c>
      <c r="M22" s="25" t="str">
        <f t="shared" si="10"/>
        <v>{{E16_TAPA_BATERIA}}</v>
      </c>
      <c r="N22" s="25" t="str">
        <f t="shared" si="11"/>
        <v>{{E16_TARJETA_ALM}}</v>
      </c>
      <c r="O22" s="25" t="str">
        <f t="shared" si="12"/>
        <v>{{E16_CUBIERTA_TARJETA}}</v>
      </c>
      <c r="P22" s="25" t="str">
        <f t="shared" si="13"/>
        <v>{{E16_CRISTAL}}</v>
      </c>
      <c r="Q22" s="25" t="str">
        <f t="shared" si="14"/>
        <v>{{E16_CARCAZA_SUP}}</v>
      </c>
      <c r="R22" s="25" t="str">
        <f t="shared" si="15"/>
        <v>{{E16_CARCAZA_INF}}</v>
      </c>
      <c r="S22" s="25" t="str">
        <f t="shared" si="16"/>
        <v>{{E16_SIM}}</v>
      </c>
      <c r="T22" s="32" t="str">
        <f t="shared" si="17"/>
        <v>{{E16_PROBLEMA}}</v>
      </c>
      <c r="U22" s="33"/>
      <c r="V22" s="33"/>
      <c r="W22" s="33"/>
      <c r="X22" s="33"/>
      <c r="Y22" s="33"/>
      <c r="Z22" s="33"/>
      <c r="AA22" s="34"/>
      <c r="AB22" s="9"/>
      <c r="AC22" s="6"/>
    </row>
    <row r="23" spans="1:29" ht="138" customHeight="1">
      <c r="A23" s="27">
        <v>17</v>
      </c>
      <c r="B23" s="31" t="s">
        <v>45</v>
      </c>
      <c r="C23" s="29" t="str">
        <f t="shared" si="0"/>
        <v>{{E17_SERIAL}}</v>
      </c>
      <c r="D23" s="24" t="str">
        <f t="shared" si="1"/>
        <v>{{E17_MODELO}}</v>
      </c>
      <c r="E23" s="25" t="str">
        <f t="shared" si="2"/>
        <v>{{E17_LAPIZ}}</v>
      </c>
      <c r="F23" s="25" t="str">
        <f t="shared" si="3"/>
        <v>{{E17_CUERDA}}</v>
      </c>
      <c r="G23" s="25" t="str">
        <f t="shared" si="4"/>
        <v>{{E17_CORREA}}</v>
      </c>
      <c r="H23" s="25" t="str">
        <f t="shared" si="5"/>
        <v>{{E17_TECLADO_NUM}}</v>
      </c>
      <c r="I23" s="25" t="str">
        <f t="shared" si="6"/>
        <v>{{E17_TECLADO_COMPL}}</v>
      </c>
      <c r="J23" s="25" t="str">
        <f t="shared" si="7"/>
        <v>{{E17_PANTALLA}}</v>
      </c>
      <c r="K23" s="26" t="str">
        <f t="shared" si="8"/>
        <v>{{E17_PROTECTOR}}</v>
      </c>
      <c r="L23" s="25" t="str">
        <f t="shared" si="9"/>
        <v>{{E17_BATERIA}}</v>
      </c>
      <c r="M23" s="25" t="str">
        <f t="shared" si="10"/>
        <v>{{E17_TAPA_BATERIA}}</v>
      </c>
      <c r="N23" s="25" t="str">
        <f t="shared" si="11"/>
        <v>{{E17_TARJETA_ALM}}</v>
      </c>
      <c r="O23" s="25" t="str">
        <f t="shared" si="12"/>
        <v>{{E17_CUBIERTA_TARJETA}}</v>
      </c>
      <c r="P23" s="25" t="str">
        <f t="shared" si="13"/>
        <v>{{E17_CRISTAL}}</v>
      </c>
      <c r="Q23" s="25" t="str">
        <f t="shared" si="14"/>
        <v>{{E17_CARCAZA_SUP}}</v>
      </c>
      <c r="R23" s="25" t="str">
        <f t="shared" si="15"/>
        <v>{{E17_CARCAZA_INF}}</v>
      </c>
      <c r="S23" s="25" t="str">
        <f t="shared" si="16"/>
        <v>{{E17_SIM}}</v>
      </c>
      <c r="T23" s="32" t="str">
        <f t="shared" si="17"/>
        <v>{{E17_PROBLEMA}}</v>
      </c>
      <c r="U23" s="33"/>
      <c r="V23" s="33"/>
      <c r="W23" s="33"/>
      <c r="X23" s="33"/>
      <c r="Y23" s="33"/>
      <c r="Z23" s="33"/>
      <c r="AA23" s="34"/>
      <c r="AB23" s="9"/>
      <c r="AC23" s="6"/>
    </row>
    <row r="24" spans="1:29" ht="138" customHeight="1">
      <c r="A24" s="27">
        <v>18</v>
      </c>
      <c r="B24" s="31" t="s">
        <v>45</v>
      </c>
      <c r="C24" s="29" t="str">
        <f t="shared" si="0"/>
        <v>{{E18_SERIAL}}</v>
      </c>
      <c r="D24" s="24" t="str">
        <f t="shared" si="1"/>
        <v>{{E18_MODELO}}</v>
      </c>
      <c r="E24" s="25" t="str">
        <f t="shared" si="2"/>
        <v>{{E18_LAPIZ}}</v>
      </c>
      <c r="F24" s="25" t="str">
        <f t="shared" si="3"/>
        <v>{{E18_CUERDA}}</v>
      </c>
      <c r="G24" s="25" t="str">
        <f t="shared" si="4"/>
        <v>{{E18_CORREA}}</v>
      </c>
      <c r="H24" s="25" t="str">
        <f t="shared" si="5"/>
        <v>{{E18_TECLADO_NUM}}</v>
      </c>
      <c r="I24" s="25" t="str">
        <f t="shared" si="6"/>
        <v>{{E18_TECLADO_COMPL}}</v>
      </c>
      <c r="J24" s="25" t="str">
        <f t="shared" si="7"/>
        <v>{{E18_PANTALLA}}</v>
      </c>
      <c r="K24" s="26" t="str">
        <f t="shared" si="8"/>
        <v>{{E18_PROTECTOR}}</v>
      </c>
      <c r="L24" s="25" t="str">
        <f t="shared" si="9"/>
        <v>{{E18_BATERIA}}</v>
      </c>
      <c r="M24" s="25" t="str">
        <f t="shared" si="10"/>
        <v>{{E18_TAPA_BATERIA}}</v>
      </c>
      <c r="N24" s="25" t="str">
        <f t="shared" si="11"/>
        <v>{{E18_TARJETA_ALM}}</v>
      </c>
      <c r="O24" s="25" t="str">
        <f t="shared" si="12"/>
        <v>{{E18_CUBIERTA_TARJETA}}</v>
      </c>
      <c r="P24" s="25" t="str">
        <f t="shared" si="13"/>
        <v>{{E18_CRISTAL}}</v>
      </c>
      <c r="Q24" s="25" t="str">
        <f t="shared" si="14"/>
        <v>{{E18_CARCAZA_SUP}}</v>
      </c>
      <c r="R24" s="25" t="str">
        <f t="shared" si="15"/>
        <v>{{E18_CARCAZA_INF}}</v>
      </c>
      <c r="S24" s="25" t="str">
        <f t="shared" si="16"/>
        <v>{{E18_SIM}}</v>
      </c>
      <c r="T24" s="32" t="str">
        <f t="shared" si="17"/>
        <v>{{E18_PROBLEMA}}</v>
      </c>
      <c r="U24" s="33"/>
      <c r="V24" s="33"/>
      <c r="W24" s="33"/>
      <c r="X24" s="33"/>
      <c r="Y24" s="33"/>
      <c r="Z24" s="33"/>
      <c r="AA24" s="34"/>
      <c r="AB24" s="9"/>
      <c r="AC24" s="6"/>
    </row>
    <row r="25" spans="1:29" ht="138" customHeight="1">
      <c r="A25" s="27">
        <v>19</v>
      </c>
      <c r="B25" s="31" t="s">
        <v>45</v>
      </c>
      <c r="C25" s="29" t="str">
        <f t="shared" si="0"/>
        <v>{{E19_SERIAL}}</v>
      </c>
      <c r="D25" s="24" t="str">
        <f t="shared" si="1"/>
        <v>{{E19_MODELO}}</v>
      </c>
      <c r="E25" s="25" t="str">
        <f t="shared" si="2"/>
        <v>{{E19_LAPIZ}}</v>
      </c>
      <c r="F25" s="25" t="str">
        <f t="shared" si="3"/>
        <v>{{E19_CUERDA}}</v>
      </c>
      <c r="G25" s="25" t="str">
        <f t="shared" si="4"/>
        <v>{{E19_CORREA}}</v>
      </c>
      <c r="H25" s="25" t="str">
        <f t="shared" si="5"/>
        <v>{{E19_TECLADO_NUM}}</v>
      </c>
      <c r="I25" s="25" t="str">
        <f t="shared" si="6"/>
        <v>{{E19_TECLADO_COMPL}}</v>
      </c>
      <c r="J25" s="25" t="str">
        <f t="shared" si="7"/>
        <v>{{E19_PANTALLA}}</v>
      </c>
      <c r="K25" s="26" t="str">
        <f t="shared" si="8"/>
        <v>{{E19_PROTECTOR}}</v>
      </c>
      <c r="L25" s="25" t="str">
        <f t="shared" si="9"/>
        <v>{{E19_BATERIA}}</v>
      </c>
      <c r="M25" s="25" t="str">
        <f t="shared" si="10"/>
        <v>{{E19_TAPA_BATERIA}}</v>
      </c>
      <c r="N25" s="25" t="str">
        <f t="shared" si="11"/>
        <v>{{E19_TARJETA_ALM}}</v>
      </c>
      <c r="O25" s="25" t="str">
        <f t="shared" si="12"/>
        <v>{{E19_CUBIERTA_TARJETA}}</v>
      </c>
      <c r="P25" s="25" t="str">
        <f t="shared" si="13"/>
        <v>{{E19_CRISTAL}}</v>
      </c>
      <c r="Q25" s="25" t="str">
        <f t="shared" si="14"/>
        <v>{{E19_CARCAZA_SUP}}</v>
      </c>
      <c r="R25" s="25" t="str">
        <f t="shared" si="15"/>
        <v>{{E19_CARCAZA_INF}}</v>
      </c>
      <c r="S25" s="25" t="str">
        <f t="shared" si="16"/>
        <v>{{E19_SIM}}</v>
      </c>
      <c r="T25" s="32" t="str">
        <f t="shared" si="17"/>
        <v>{{E19_PROBLEMA}}</v>
      </c>
      <c r="U25" s="33"/>
      <c r="V25" s="33"/>
      <c r="W25" s="33"/>
      <c r="X25" s="33"/>
      <c r="Y25" s="33"/>
      <c r="Z25" s="33"/>
      <c r="AA25" s="34"/>
      <c r="AB25" s="9"/>
      <c r="AC25" s="6"/>
    </row>
    <row r="26" spans="1:29" ht="138" customHeight="1">
      <c r="A26" s="28">
        <v>20</v>
      </c>
      <c r="B26" s="31" t="s">
        <v>45</v>
      </c>
      <c r="C26" s="29" t="str">
        <f t="shared" si="0"/>
        <v>{{E20_SERIAL}}</v>
      </c>
      <c r="D26" s="24" t="str">
        <f t="shared" si="1"/>
        <v>{{E20_MODELO}}</v>
      </c>
      <c r="E26" s="25" t="str">
        <f t="shared" si="2"/>
        <v>{{E20_LAPIZ}}</v>
      </c>
      <c r="F26" s="25" t="str">
        <f t="shared" si="3"/>
        <v>{{E20_CUERDA}}</v>
      </c>
      <c r="G26" s="25" t="str">
        <f t="shared" si="4"/>
        <v>{{E20_CORREA}}</v>
      </c>
      <c r="H26" s="25" t="str">
        <f t="shared" si="5"/>
        <v>{{E20_TECLADO_NUM}}</v>
      </c>
      <c r="I26" s="25" t="str">
        <f t="shared" si="6"/>
        <v>{{E20_TECLADO_COMPL}}</v>
      </c>
      <c r="J26" s="25" t="str">
        <f t="shared" si="7"/>
        <v>{{E20_PANTALLA}}</v>
      </c>
      <c r="K26" s="26" t="str">
        <f t="shared" si="8"/>
        <v>{{E20_PROTECTOR}}</v>
      </c>
      <c r="L26" s="25" t="str">
        <f t="shared" si="9"/>
        <v>{{E20_BATERIA}}</v>
      </c>
      <c r="M26" s="25" t="str">
        <f t="shared" si="10"/>
        <v>{{E20_TAPA_BATERIA}}</v>
      </c>
      <c r="N26" s="25" t="str">
        <f t="shared" si="11"/>
        <v>{{E20_TARJETA_ALM}}</v>
      </c>
      <c r="O26" s="25" t="str">
        <f t="shared" si="12"/>
        <v>{{E20_CUBIERTA_TARJETA}}</v>
      </c>
      <c r="P26" s="25" t="str">
        <f t="shared" si="13"/>
        <v>{{E20_CRISTAL}}</v>
      </c>
      <c r="Q26" s="25" t="str">
        <f t="shared" si="14"/>
        <v>{{E20_CARCAZA_SUP}}</v>
      </c>
      <c r="R26" s="25" t="str">
        <f t="shared" si="15"/>
        <v>{{E20_CARCAZA_INF}}</v>
      </c>
      <c r="S26" s="25" t="str">
        <f t="shared" si="16"/>
        <v>{{E20_SIM}}</v>
      </c>
      <c r="T26" s="32" t="str">
        <f t="shared" si="17"/>
        <v>{{E20_PROBLEMA}}</v>
      </c>
      <c r="U26" s="33"/>
      <c r="V26" s="33"/>
      <c r="W26" s="33"/>
      <c r="X26" s="33"/>
      <c r="Y26" s="33"/>
      <c r="Z26" s="33"/>
      <c r="AA26" s="34"/>
      <c r="AB26" s="9"/>
      <c r="AC26" s="6"/>
    </row>
    <row r="27" spans="1:29" ht="25.5" customHeight="1">
      <c r="B27" s="3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9" ht="59.25" customHeight="1">
      <c r="B28" s="51" t="s">
        <v>27</v>
      </c>
      <c r="C28" s="51"/>
      <c r="D28" s="51"/>
      <c r="E28" s="51"/>
      <c r="F28" s="51"/>
      <c r="G28" s="51"/>
      <c r="H28" s="51"/>
      <c r="I28" s="51"/>
      <c r="J28" s="51"/>
      <c r="K28" s="51"/>
      <c r="L28" s="51"/>
      <c r="M28" s="51"/>
      <c r="N28" s="51"/>
      <c r="O28" s="51"/>
      <c r="P28" s="51"/>
      <c r="Q28" s="51"/>
      <c r="R28" s="51"/>
      <c r="S28" s="51"/>
      <c r="T28" s="51"/>
      <c r="U28" s="51"/>
      <c r="V28" s="51"/>
      <c r="W28" s="11"/>
      <c r="X28" s="52" t="s">
        <v>28</v>
      </c>
      <c r="Y28" s="52"/>
      <c r="Z28" s="12" t="s">
        <v>29</v>
      </c>
      <c r="AA28" s="13"/>
    </row>
    <row r="29" spans="1:29" ht="69.75" customHeight="1">
      <c r="B29" s="53" t="s">
        <v>30</v>
      </c>
      <c r="C29" s="53"/>
      <c r="D29" s="53"/>
      <c r="E29" s="53"/>
      <c r="F29" s="53"/>
      <c r="G29" s="53"/>
      <c r="H29" s="53"/>
      <c r="I29" s="53"/>
      <c r="J29" s="53"/>
      <c r="K29" s="53"/>
      <c r="L29" s="53"/>
      <c r="M29" s="53"/>
      <c r="N29" s="53"/>
      <c r="O29" s="53"/>
      <c r="P29" s="53"/>
      <c r="Q29" s="53"/>
      <c r="R29" s="53"/>
      <c r="S29" s="53"/>
      <c r="T29" s="53"/>
      <c r="U29" s="53"/>
      <c r="V29" s="53"/>
      <c r="W29" s="11"/>
      <c r="X29" s="14"/>
      <c r="Y29" s="14"/>
      <c r="Z29" s="14"/>
      <c r="AA29" s="13"/>
    </row>
    <row r="30" spans="1:29" ht="25.5" customHeight="1">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1:29" ht="23.25" customHeight="1">
      <c r="B31" s="16" t="s">
        <v>31</v>
      </c>
      <c r="C31" s="17"/>
      <c r="D31" s="17"/>
      <c r="E31" s="17"/>
      <c r="F31" s="16" t="s">
        <v>32</v>
      </c>
      <c r="G31" s="17"/>
      <c r="H31" s="17"/>
      <c r="I31" s="17"/>
      <c r="J31" s="17"/>
      <c r="K31" s="17"/>
      <c r="L31" s="17"/>
      <c r="M31" s="17"/>
      <c r="N31" s="17"/>
      <c r="O31" s="16"/>
      <c r="P31" s="17"/>
      <c r="Q31" s="16" t="s">
        <v>33</v>
      </c>
      <c r="R31" s="17"/>
    </row>
    <row r="32" spans="1:29" ht="23.25" customHeight="1">
      <c r="B32" s="16"/>
      <c r="C32" s="17"/>
      <c r="D32" s="17"/>
      <c r="E32" s="17"/>
      <c r="F32" s="16"/>
      <c r="G32" s="17"/>
      <c r="H32" s="17"/>
      <c r="I32" s="17"/>
      <c r="J32" s="17"/>
      <c r="K32" s="17"/>
      <c r="L32" s="17"/>
      <c r="M32" s="17"/>
      <c r="N32" s="17"/>
      <c r="O32" s="16"/>
      <c r="P32" s="17"/>
      <c r="Q32" s="17"/>
      <c r="R32" s="17"/>
    </row>
    <row r="33" spans="1:27" ht="31.5" customHeight="1">
      <c r="B33" s="36"/>
      <c r="C33" s="36"/>
      <c r="D33" s="36"/>
      <c r="E33" s="17"/>
      <c r="F33" s="36"/>
      <c r="G33" s="36"/>
      <c r="H33" s="36"/>
      <c r="I33" s="36"/>
      <c r="J33" s="36"/>
      <c r="K33" s="36"/>
      <c r="L33" s="36"/>
      <c r="M33" s="36"/>
      <c r="N33" s="36"/>
      <c r="O33" s="36"/>
      <c r="P33" s="17"/>
      <c r="Q33" s="35" t="s">
        <v>42</v>
      </c>
      <c r="R33" s="35"/>
      <c r="S33" s="35"/>
      <c r="T33" s="35"/>
      <c r="U33" s="35"/>
      <c r="V33" s="35"/>
      <c r="W33" s="35"/>
      <c r="X33" s="35"/>
      <c r="Y33" s="35"/>
      <c r="Z33" s="35"/>
      <c r="AA33" s="35"/>
    </row>
    <row r="34" spans="1:27" ht="23.25" customHeight="1">
      <c r="B34" s="16" t="s">
        <v>34</v>
      </c>
      <c r="C34" s="17"/>
      <c r="D34" s="17"/>
      <c r="E34" s="17"/>
      <c r="F34" s="16" t="s">
        <v>34</v>
      </c>
      <c r="G34" s="17"/>
      <c r="H34" s="17"/>
      <c r="I34" s="17"/>
      <c r="J34" s="17"/>
      <c r="K34" s="17"/>
      <c r="L34" s="17"/>
      <c r="M34" s="17"/>
      <c r="N34" s="17"/>
      <c r="O34" s="16"/>
      <c r="P34" s="17"/>
      <c r="Q34" s="17"/>
      <c r="R34" s="17"/>
    </row>
    <row r="35" spans="1:27" ht="31.5" customHeight="1">
      <c r="B35" s="37" t="s">
        <v>43</v>
      </c>
      <c r="C35" s="37"/>
      <c r="D35" s="37"/>
      <c r="E35" s="17"/>
      <c r="F35" s="37" t="s">
        <v>46</v>
      </c>
      <c r="G35" s="37"/>
      <c r="H35" s="37"/>
      <c r="I35" s="37"/>
      <c r="J35" s="37"/>
      <c r="K35" s="37"/>
      <c r="L35" s="37"/>
      <c r="M35" s="37"/>
      <c r="N35" s="37"/>
      <c r="O35" s="37"/>
      <c r="P35" s="20"/>
      <c r="Q35" s="19"/>
      <c r="R35" s="18"/>
      <c r="S35" s="21"/>
      <c r="T35" s="21"/>
      <c r="U35" s="21"/>
      <c r="V35" s="21"/>
      <c r="W35" s="21"/>
      <c r="X35" s="21"/>
      <c r="Y35" s="21"/>
      <c r="Z35" s="21"/>
      <c r="AA35" s="21"/>
    </row>
    <row r="36" spans="1:27" ht="23.25" customHeight="1">
      <c r="B36" s="17" t="s">
        <v>35</v>
      </c>
      <c r="C36" s="17"/>
      <c r="D36" s="17"/>
      <c r="E36" s="17"/>
      <c r="F36" s="17" t="s">
        <v>35</v>
      </c>
      <c r="G36" s="17"/>
      <c r="H36" s="17"/>
      <c r="I36" s="17"/>
      <c r="J36" s="17"/>
      <c r="K36" s="17"/>
      <c r="L36" s="17"/>
      <c r="M36" s="17"/>
      <c r="N36" s="17"/>
      <c r="O36" s="17"/>
      <c r="P36" s="17"/>
      <c r="Q36" s="17"/>
      <c r="R36" s="17"/>
    </row>
    <row r="37" spans="1:27" ht="23.25" customHeight="1">
      <c r="B37" s="38" t="s">
        <v>44</v>
      </c>
      <c r="C37" s="38"/>
      <c r="D37" s="38"/>
      <c r="E37" s="17"/>
      <c r="F37" s="38" t="s">
        <v>47</v>
      </c>
      <c r="G37" s="38"/>
      <c r="H37" s="38"/>
      <c r="I37" s="38"/>
      <c r="J37" s="38"/>
      <c r="K37" s="38"/>
      <c r="L37" s="38"/>
      <c r="M37" s="38"/>
      <c r="N37" s="38"/>
      <c r="O37" s="38"/>
      <c r="P37" s="17"/>
      <c r="Q37" s="18"/>
      <c r="R37" s="18"/>
      <c r="S37" s="21"/>
      <c r="T37" s="21"/>
      <c r="U37" s="21"/>
      <c r="V37" s="21"/>
      <c r="W37" s="21"/>
      <c r="X37" s="21"/>
      <c r="Y37" s="21"/>
      <c r="Z37" s="21"/>
      <c r="AA37" s="21"/>
    </row>
    <row r="38" spans="1:27" ht="23.25" customHeight="1">
      <c r="B38" s="17" t="s">
        <v>36</v>
      </c>
      <c r="C38" s="17"/>
      <c r="D38" s="17"/>
      <c r="E38" s="17"/>
      <c r="F38" s="17" t="s">
        <v>36</v>
      </c>
      <c r="G38" s="17"/>
      <c r="H38" s="17"/>
      <c r="I38" s="17"/>
      <c r="J38" s="17"/>
      <c r="K38" s="17"/>
      <c r="L38" s="17"/>
      <c r="M38" s="17"/>
      <c r="N38" s="17"/>
      <c r="O38" s="17"/>
      <c r="P38" s="17"/>
      <c r="Q38" s="17"/>
      <c r="R38" s="17"/>
    </row>
    <row r="39" spans="1:27" ht="18.75" customHeight="1">
      <c r="B39" s="23"/>
      <c r="C39" s="22"/>
      <c r="D39" s="22"/>
      <c r="E39" s="22"/>
      <c r="F39" s="22"/>
      <c r="G39" s="22"/>
      <c r="H39" s="22"/>
      <c r="I39" s="22"/>
      <c r="J39" s="22"/>
      <c r="K39" s="22"/>
      <c r="L39" s="22"/>
      <c r="M39" s="22"/>
      <c r="N39" s="22"/>
      <c r="O39" s="22"/>
      <c r="P39" s="22"/>
      <c r="Q39" s="22"/>
    </row>
    <row r="40" spans="1:27" ht="16.5" customHeight="1">
      <c r="A40" s="49" t="s">
        <v>37</v>
      </c>
      <c r="B40" s="49"/>
      <c r="C40" s="49"/>
      <c r="D40" s="49"/>
      <c r="E40" s="49"/>
      <c r="F40" s="49"/>
      <c r="G40" s="49"/>
      <c r="H40" s="49"/>
      <c r="I40" s="49"/>
      <c r="J40" s="49"/>
      <c r="K40" s="49"/>
      <c r="L40" s="49"/>
      <c r="M40" s="40"/>
      <c r="N40" s="50" t="s">
        <v>38</v>
      </c>
      <c r="O40" s="50"/>
      <c r="P40" s="50"/>
      <c r="Q40" s="50"/>
      <c r="R40" s="50"/>
      <c r="S40" s="50"/>
      <c r="T40" s="50"/>
      <c r="U40" s="50"/>
      <c r="V40" s="50"/>
      <c r="W40" s="50"/>
      <c r="X40" s="50"/>
      <c r="Y40" s="50"/>
      <c r="Z40" s="50"/>
      <c r="AA40" s="50"/>
    </row>
    <row r="41" spans="1:27" ht="87.75" customHeight="1">
      <c r="A41" s="49"/>
      <c r="B41" s="49"/>
      <c r="C41" s="49"/>
      <c r="D41" s="49"/>
      <c r="E41" s="49"/>
      <c r="F41" s="49"/>
      <c r="G41" s="49"/>
      <c r="H41" s="49"/>
      <c r="I41" s="49"/>
      <c r="J41" s="49"/>
      <c r="K41" s="49"/>
      <c r="L41" s="49"/>
      <c r="M41" s="40"/>
      <c r="N41" s="50"/>
      <c r="O41" s="50"/>
      <c r="P41" s="50"/>
      <c r="Q41" s="50"/>
      <c r="R41" s="50"/>
      <c r="S41" s="50"/>
      <c r="T41" s="50"/>
      <c r="U41" s="50"/>
      <c r="V41" s="50"/>
      <c r="W41" s="50"/>
      <c r="X41" s="50"/>
      <c r="Y41" s="50"/>
      <c r="Z41" s="50"/>
      <c r="AA41" s="50"/>
    </row>
  </sheetData>
  <mergeCells count="46">
    <mergeCell ref="A40:L41"/>
    <mergeCell ref="M40:M41"/>
    <mergeCell ref="N40:AA41"/>
    <mergeCell ref="B28:V28"/>
    <mergeCell ref="X28:Y28"/>
    <mergeCell ref="B29:V29"/>
    <mergeCell ref="F35:O35"/>
    <mergeCell ref="F33:O33"/>
    <mergeCell ref="F37:O37"/>
    <mergeCell ref="T5:AA6"/>
    <mergeCell ref="A1:C1"/>
    <mergeCell ref="D1:Y1"/>
    <mergeCell ref="Z1:AA1"/>
    <mergeCell ref="J3:K3"/>
    <mergeCell ref="A5:A6"/>
    <mergeCell ref="B5:B6"/>
    <mergeCell ref="C5:C6"/>
    <mergeCell ref="D5:D6"/>
    <mergeCell ref="E5:S5"/>
    <mergeCell ref="C3:H3"/>
    <mergeCell ref="L3:Q3"/>
    <mergeCell ref="V3:Y3"/>
    <mergeCell ref="T26:AA26"/>
    <mergeCell ref="Q33:AA33"/>
    <mergeCell ref="B33:D33"/>
    <mergeCell ref="B35:D35"/>
    <mergeCell ref="B37:D37"/>
    <mergeCell ref="T7:AA7"/>
    <mergeCell ref="T8:AA8"/>
    <mergeCell ref="T9:AA9"/>
    <mergeCell ref="T10:AA10"/>
    <mergeCell ref="T11:AA11"/>
    <mergeCell ref="T12:AA12"/>
    <mergeCell ref="T13:AA13"/>
    <mergeCell ref="T14:AA14"/>
    <mergeCell ref="T15:AA15"/>
    <mergeCell ref="T16:AA16"/>
    <mergeCell ref="T22:AA22"/>
    <mergeCell ref="T23:AA23"/>
    <mergeCell ref="T24:AA24"/>
    <mergeCell ref="T25:AA25"/>
    <mergeCell ref="T17:AA17"/>
    <mergeCell ref="T18:AA18"/>
    <mergeCell ref="T19:AA19"/>
    <mergeCell ref="T20:AA20"/>
    <mergeCell ref="T21:AA21"/>
  </mergeCells>
  <pageMargins left="0.70866141732283472" right="0.70866141732283472" top="0.74803149606299213" bottom="0.74803149606299213" header="0.31496062992125984" footer="0.31496062992125984"/>
  <pageSetup scale="31" fitToHeight="0" pageOrder="overThenDown"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8f42414a-44e9-4ab8-9d8c-13496e5456f0">
      <UserInfo>
        <DisplayName/>
        <AccountId xsi:nil="true"/>
        <AccountType/>
      </UserInfo>
    </SharedWithUsers>
    <lcf76f155ced4ddcb4097134ff3c332f xmlns="5c5e1c5e-126c-46de-95d7-01837e6d0e6a">
      <Terms xmlns="http://schemas.microsoft.com/office/infopath/2007/PartnerControls"/>
    </lcf76f155ced4ddcb4097134ff3c332f>
    <TaxCatchAll xmlns="8f42414a-44e9-4ab8-9d8c-13496e5456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FD7ECA55D469B4B85EC5E0598530405" ma:contentTypeVersion="19" ma:contentTypeDescription="Crear nuevo documento." ma:contentTypeScope="" ma:versionID="e424cba3a7cdf0ba8593dd1312d028ea">
  <xsd:schema xmlns:xsd="http://www.w3.org/2001/XMLSchema" xmlns:xs="http://www.w3.org/2001/XMLSchema" xmlns:p="http://schemas.microsoft.com/office/2006/metadata/properties" xmlns:ns2="8f42414a-44e9-4ab8-9d8c-13496e5456f0" xmlns:ns3="5c5e1c5e-126c-46de-95d7-01837e6d0e6a" targetNamespace="http://schemas.microsoft.com/office/2006/metadata/properties" ma:root="true" ma:fieldsID="3b018def679fcf3d1e12496337ca2930" ns2:_="" ns3:_="">
    <xsd:import namespace="8f42414a-44e9-4ab8-9d8c-13496e5456f0"/>
    <xsd:import namespace="5c5e1c5e-126c-46de-95d7-01837e6d0e6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42414a-44e9-4ab8-9d8c-13496e5456f0"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cc599528-8d3a-496c-ac2c-e89331aee16e}" ma:internalName="TaxCatchAll" ma:showField="CatchAllData" ma:web="8f42414a-44e9-4ab8-9d8c-13496e5456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c5e1c5e-126c-46de-95d7-01837e6d0e6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1134a63e-efa3-4a9a-975d-5d9b1b27a9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B2C939-EA99-47CE-A0FD-C18E0331C4D0}">
  <ds:schemaRefs>
    <ds:schemaRef ds:uri="http://schemas.microsoft.com/sharepoint/v3/contenttype/forms"/>
  </ds:schemaRefs>
</ds:datastoreItem>
</file>

<file path=customXml/itemProps2.xml><?xml version="1.0" encoding="utf-8"?>
<ds:datastoreItem xmlns:ds="http://schemas.openxmlformats.org/officeDocument/2006/customXml" ds:itemID="{D96C5256-C433-4124-8B9D-94EBEAE737AC}">
  <ds:schemaRefs>
    <ds:schemaRef ds:uri="http://schemas.microsoft.com/office/2006/metadata/properties"/>
    <ds:schemaRef ds:uri="http://schemas.microsoft.com/office/infopath/2007/PartnerControls"/>
    <ds:schemaRef ds:uri="8f42414a-44e9-4ab8-9d8c-13496e5456f0"/>
    <ds:schemaRef ds:uri="5c5e1c5e-126c-46de-95d7-01837e6d0e6a"/>
  </ds:schemaRefs>
</ds:datastoreItem>
</file>

<file path=customXml/itemProps3.xml><?xml version="1.0" encoding="utf-8"?>
<ds:datastoreItem xmlns:ds="http://schemas.openxmlformats.org/officeDocument/2006/customXml" ds:itemID="{C5550D66-634C-42C3-85ED-F122C19C87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42414a-44e9-4ab8-9d8c-13496e5456f0"/>
    <ds:schemaRef ds:uri="5c5e1c5e-126c-46de-95d7-01837e6d0e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Hoja1!Área_de_impresión</vt:lpstr>
      <vt:lpstr>Hoja1!Excel_BuiltIn_Print_Area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Adriana.Peña</dc:creator>
  <cp:keywords/>
  <dc:description/>
  <cp:lastModifiedBy>Jose luis Calderon suarez</cp:lastModifiedBy>
  <cp:revision>2</cp:revision>
  <dcterms:created xsi:type="dcterms:W3CDTF">2023-08-02T15:38:44Z</dcterms:created>
  <dcterms:modified xsi:type="dcterms:W3CDTF">2025-11-12T14:13:12Z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0x0101006FD7ECA55D469B4B85EC5E0598530405</vt:lpwstr>
  </property>
  <property fmtid="{D5CDD505-2E9C-101B-9397-08002B2CF9AE}" pid="3" name="Order">
    <vt:r8>2223700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